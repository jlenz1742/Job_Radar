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Zielliste" sheetId="1" state="visible" r:id="rId1"/>
    <sheet name="Legende &amp; Kriterien" sheetId="2" state="visible" r:id="rId2"/>
    <sheet name="Ausgeschlossen" sheetId="3" state="visible" r:id="rId3"/>
  </sheets>
  <definedNames>
    <definedName name="_xlnm._FilterDatabase" localSheetId="0" hidden="1">'Zielliste'!$A$1:$Y$204</definedName>
  </definedNames>
  <calcPr calcId="124519" fullCalcOnLoad="1" refMode="A1" iterate="0" iterateCount="100" iterateDelta="0.0001"/>
</workbook>
</file>

<file path=xl/styles.xml><?xml version="1.0" encoding="utf-8"?>
<styleSheet xmlns="http://schemas.openxmlformats.org/spreadsheetml/2006/main">
  <numFmts count="0"/>
  <fonts count="16">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0"/>
    </font>
    <font>
      <name val="Arial"/>
      <charset val="1"/>
      <family val="0"/>
      <sz val="10"/>
    </font>
    <font>
      <name val="Arial"/>
      <charset val="1"/>
      <family val="0"/>
      <b val="1"/>
      <sz val="10"/>
    </font>
    <font>
      <name val="Arial"/>
      <charset val="1"/>
      <family val="0"/>
      <color rgb="FF0563C1"/>
      <sz val="9"/>
    </font>
    <font>
      <name val="Arial"/>
      <charset val="1"/>
      <family val="0"/>
      <color rgb="FF0563C1"/>
      <sz val="9"/>
      <u val="single"/>
    </font>
    <font>
      <name val="Arial"/>
      <charset val="1"/>
      <family val="0"/>
      <i val="1"/>
      <color rgb="FF808080"/>
      <sz val="9"/>
    </font>
    <font>
      <name val="Arial"/>
      <family val="2"/>
      <sz val="10"/>
    </font>
    <font>
      <name val="Arial"/>
      <charset val="1"/>
      <family val="0"/>
      <b val="1"/>
      <color rgb="FF000000"/>
      <sz val="14"/>
    </font>
    <font>
      <name val="Arial"/>
      <charset val="1"/>
      <family val="0"/>
      <color rgb="FF000000"/>
      <sz val="10"/>
    </font>
    <font>
      <name val="Arial"/>
      <charset val="1"/>
      <family val="0"/>
      <b val="1"/>
      <color rgb="FF000000"/>
      <sz val="11"/>
    </font>
    <font>
      <name val="Arial"/>
      <charset val="1"/>
      <family val="0"/>
      <b val="1"/>
      <color rgb="FF000000"/>
      <sz val="10"/>
    </font>
    <font>
      <name val="Arial"/>
      <charset val="1"/>
      <family val="0"/>
      <color rgb="FF0000FF"/>
      <sz val="10"/>
    </font>
  </fonts>
  <fills count="10">
    <fill>
      <patternFill/>
    </fill>
    <fill>
      <patternFill patternType="gray125"/>
    </fill>
    <fill>
      <patternFill patternType="solid">
        <fgColor rgb="FF1F3864"/>
        <bgColor rgb="FF333333"/>
      </patternFill>
    </fill>
    <fill>
      <patternFill patternType="solid">
        <fgColor rgb="FFDDEBF7"/>
        <bgColor rgb="FFEDEDED"/>
      </patternFill>
    </fill>
    <fill>
      <patternFill patternType="solid">
        <fgColor rgb="FFFFFF00"/>
        <bgColor rgb="FFFFFF00"/>
      </patternFill>
    </fill>
    <fill>
      <patternFill patternType="solid">
        <fgColor rgb="FFFFF2CC"/>
        <bgColor rgb="FFFCE4D6"/>
      </patternFill>
    </fill>
    <fill>
      <patternFill patternType="solid">
        <fgColor rgb="FFE2EFDA"/>
        <bgColor rgb="FFEDEDED"/>
      </patternFill>
    </fill>
    <fill>
      <patternFill patternType="solid">
        <fgColor rgb="FFFCE4D6"/>
        <bgColor rgb="FFFFF2CC"/>
      </patternFill>
    </fill>
    <fill>
      <patternFill patternType="solid">
        <fgColor rgb="FFE4DFEC"/>
        <bgColor rgb="FFDDEBF7"/>
      </patternFill>
    </fill>
    <fill>
      <patternFill patternType="solid">
        <fgColor rgb="FFEDEDED"/>
        <bgColor rgb="FFE2EFDA"/>
      </patternFill>
    </fill>
  </fills>
  <borders count="2">
    <border>
      <left/>
      <right/>
      <top/>
      <bottom/>
      <diagonal/>
    </border>
    <border>
      <left style="thin">
        <color rgb="FFD0D0D0"/>
      </left>
      <right style="thin">
        <color rgb="FFD0D0D0"/>
      </right>
      <top style="thin">
        <color rgb="FFD0D0D0"/>
      </top>
      <bottom style="thin">
        <color rgb="FFD0D0D0"/>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112">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2" borderId="0" applyAlignment="1" pivotButton="0" quotePrefix="0" xfId="0">
      <alignment horizontal="center" vertical="center" wrapText="1"/>
    </xf>
    <xf numFmtId="0" fontId="5" fillId="3" borderId="1" applyAlignment="1" pivotButton="0" quotePrefix="0" xfId="0">
      <alignment horizontal="general" vertical="top"/>
    </xf>
    <xf numFmtId="0" fontId="6" fillId="3" borderId="1" applyAlignment="1" pivotButton="0" quotePrefix="0" xfId="0">
      <alignment horizontal="center" vertical="top"/>
    </xf>
    <xf numFmtId="0" fontId="5" fillId="3" borderId="1" applyAlignment="1" pivotButton="0" quotePrefix="0" xfId="0">
      <alignment horizontal="general" vertical="top" wrapText="1"/>
    </xf>
    <xf numFmtId="3" fontId="5" fillId="3" borderId="1" applyAlignment="1" pivotButton="0" quotePrefix="0" xfId="0">
      <alignment horizontal="general" vertical="top"/>
    </xf>
    <xf numFmtId="0" fontId="5" fillId="4" borderId="1" applyAlignment="1" pivotButton="0" quotePrefix="0" xfId="0">
      <alignment horizontal="general" vertical="top"/>
    </xf>
    <xf numFmtId="0" fontId="5" fillId="4" borderId="1" applyAlignment="1" pivotButton="0" quotePrefix="0" xfId="0">
      <alignment horizontal="general" vertical="top" wrapText="1"/>
    </xf>
    <xf numFmtId="0" fontId="7" fillId="3" borderId="1" applyAlignment="1" pivotButton="0" quotePrefix="0" xfId="0">
      <alignment horizontal="general" vertical="top"/>
    </xf>
    <xf numFmtId="0" fontId="8" fillId="3" borderId="1" applyAlignment="1" pivotButton="0" quotePrefix="0" xfId="0">
      <alignment horizontal="general" vertical="top"/>
    </xf>
    <xf numFmtId="0" fontId="7" fillId="3" borderId="1" applyAlignment="1" pivotButton="0" quotePrefix="0" xfId="0">
      <alignment horizontal="general" vertical="top" wrapText="1"/>
    </xf>
    <xf numFmtId="0" fontId="9" fillId="3" borderId="1" applyAlignment="1" pivotButton="0" quotePrefix="0" xfId="0">
      <alignment horizontal="general" vertical="top" wrapText="1"/>
    </xf>
    <xf numFmtId="0" fontId="5" fillId="5" borderId="1" applyAlignment="1" pivotButton="0" quotePrefix="0" xfId="0">
      <alignment horizontal="general" vertical="top"/>
    </xf>
    <xf numFmtId="0" fontId="5" fillId="5" borderId="1" applyAlignment="1" pivotButton="0" quotePrefix="0" xfId="0">
      <alignment horizontal="center" vertical="top"/>
    </xf>
    <xf numFmtId="0" fontId="5" fillId="5" borderId="1" applyAlignment="1" pivotButton="0" quotePrefix="0" xfId="0">
      <alignment horizontal="general" vertical="top" wrapText="1"/>
    </xf>
    <xf numFmtId="3" fontId="5" fillId="5" borderId="1" applyAlignment="1" pivotButton="0" quotePrefix="0" xfId="0">
      <alignment horizontal="general" vertical="top"/>
    </xf>
    <xf numFmtId="0" fontId="7" fillId="5" borderId="1" applyAlignment="1" pivotButton="0" quotePrefix="0" xfId="0">
      <alignment horizontal="general" vertical="top"/>
    </xf>
    <xf numFmtId="0" fontId="8" fillId="5" borderId="1" applyAlignment="1" pivotButton="0" quotePrefix="0" xfId="0">
      <alignment horizontal="general" vertical="top"/>
    </xf>
    <xf numFmtId="0" fontId="5" fillId="6" borderId="1" applyAlignment="1" pivotButton="0" quotePrefix="0" xfId="0">
      <alignment horizontal="general" vertical="top"/>
    </xf>
    <xf numFmtId="0" fontId="5" fillId="6" borderId="1" applyAlignment="1" pivotButton="0" quotePrefix="0" xfId="0">
      <alignment horizontal="center" vertical="top"/>
    </xf>
    <xf numFmtId="0" fontId="5" fillId="6" borderId="1" applyAlignment="1" pivotButton="0" quotePrefix="0" xfId="0">
      <alignment horizontal="general" vertical="top" wrapText="1"/>
    </xf>
    <xf numFmtId="3" fontId="5" fillId="6" borderId="1" applyAlignment="1" pivotButton="0" quotePrefix="0" xfId="0">
      <alignment horizontal="general" vertical="top"/>
    </xf>
    <xf numFmtId="0" fontId="7" fillId="6" borderId="1" applyAlignment="1" pivotButton="0" quotePrefix="0" xfId="0">
      <alignment horizontal="general" vertical="top"/>
    </xf>
    <xf numFmtId="0" fontId="8" fillId="6" borderId="1" applyAlignment="1" pivotButton="0" quotePrefix="0" xfId="0">
      <alignment horizontal="general" vertical="top"/>
    </xf>
    <xf numFmtId="0" fontId="5" fillId="0" borderId="1" applyAlignment="1" pivotButton="0" quotePrefix="0" xfId="0">
      <alignment horizontal="general" vertical="top"/>
    </xf>
    <xf numFmtId="0" fontId="5" fillId="0" borderId="1" applyAlignment="1" pivotButton="0" quotePrefix="0" xfId="0">
      <alignment horizontal="center" vertical="top"/>
    </xf>
    <xf numFmtId="0" fontId="5" fillId="0" borderId="1" applyAlignment="1" pivotButton="0" quotePrefix="0" xfId="0">
      <alignment horizontal="general" vertical="top" wrapText="1"/>
    </xf>
    <xf numFmtId="3" fontId="5" fillId="0" borderId="1" applyAlignment="1" pivotButton="0" quotePrefix="0" xfId="0">
      <alignment horizontal="general" vertical="top"/>
    </xf>
    <xf numFmtId="0" fontId="7" fillId="0" borderId="1" applyAlignment="1" pivotButton="0" quotePrefix="0" xfId="0">
      <alignment horizontal="general" vertical="top"/>
    </xf>
    <xf numFmtId="0" fontId="8" fillId="0" borderId="1" applyAlignment="1" pivotButton="0" quotePrefix="0" xfId="0">
      <alignment horizontal="general" vertical="top"/>
    </xf>
    <xf numFmtId="0" fontId="5" fillId="7" borderId="1" applyAlignment="1" pivotButton="0" quotePrefix="0" xfId="0">
      <alignment horizontal="general" vertical="top"/>
    </xf>
    <xf numFmtId="0" fontId="5" fillId="7" borderId="1" applyAlignment="1" pivotButton="0" quotePrefix="0" xfId="0">
      <alignment horizontal="center" vertical="top"/>
    </xf>
    <xf numFmtId="0" fontId="5" fillId="7" borderId="1" applyAlignment="1" pivotButton="0" quotePrefix="0" xfId="0">
      <alignment horizontal="general" vertical="top" wrapText="1"/>
    </xf>
    <xf numFmtId="3" fontId="5" fillId="7" borderId="1" applyAlignment="1" pivotButton="0" quotePrefix="0" xfId="0">
      <alignment horizontal="general" vertical="top"/>
    </xf>
    <xf numFmtId="0" fontId="7" fillId="7" borderId="1" applyAlignment="1" pivotButton="0" quotePrefix="0" xfId="0">
      <alignment horizontal="general" vertical="top"/>
    </xf>
    <xf numFmtId="0" fontId="8" fillId="7" borderId="1" applyAlignment="1" pivotButton="0" quotePrefix="0" xfId="0">
      <alignment horizontal="general" vertical="top"/>
    </xf>
    <xf numFmtId="0" fontId="5" fillId="8" borderId="1" applyAlignment="1" pivotButton="0" quotePrefix="0" xfId="0">
      <alignment horizontal="general" vertical="top"/>
    </xf>
    <xf numFmtId="0" fontId="5" fillId="8" borderId="1" applyAlignment="1" pivotButton="0" quotePrefix="0" xfId="0">
      <alignment horizontal="center" vertical="top"/>
    </xf>
    <xf numFmtId="0" fontId="5" fillId="8" borderId="1" applyAlignment="1" pivotButton="0" quotePrefix="0" xfId="0">
      <alignment horizontal="general" vertical="top" wrapText="1"/>
    </xf>
    <xf numFmtId="3" fontId="5" fillId="8" borderId="1" applyAlignment="1" pivotButton="0" quotePrefix="0" xfId="0">
      <alignment horizontal="general" vertical="top"/>
    </xf>
    <xf numFmtId="0" fontId="7" fillId="8" borderId="1" applyAlignment="1" pivotButton="0" quotePrefix="0" xfId="0">
      <alignment horizontal="general" vertical="top"/>
    </xf>
    <xf numFmtId="0" fontId="8" fillId="8" borderId="1" applyAlignment="1" pivotButton="0" quotePrefix="0" xfId="0">
      <alignment horizontal="general" vertical="top"/>
    </xf>
    <xf numFmtId="0" fontId="5" fillId="9" borderId="1" applyAlignment="1" pivotButton="0" quotePrefix="0" xfId="0">
      <alignment horizontal="general" vertical="top"/>
    </xf>
    <xf numFmtId="0" fontId="5" fillId="9" borderId="1" applyAlignment="1" pivotButton="0" quotePrefix="0" xfId="0">
      <alignment horizontal="center" vertical="top"/>
    </xf>
    <xf numFmtId="0" fontId="5" fillId="9" borderId="1" applyAlignment="1" pivotButton="0" quotePrefix="0" xfId="0">
      <alignment horizontal="general" vertical="top" wrapText="1"/>
    </xf>
    <xf numFmtId="3" fontId="5" fillId="9" borderId="1" applyAlignment="1" pivotButton="0" quotePrefix="0" xfId="0">
      <alignment horizontal="general" vertical="top"/>
    </xf>
    <xf numFmtId="0" fontId="7" fillId="9" borderId="1" applyAlignment="1" pivotButton="0" quotePrefix="0" xfId="0">
      <alignment horizontal="general" vertical="top"/>
    </xf>
    <xf numFmtId="0" fontId="8" fillId="9" borderId="1" applyAlignment="1" pivotButton="0" quotePrefix="0" xfId="0">
      <alignment horizontal="general" vertical="top"/>
    </xf>
    <xf numFmtId="0" fontId="11" fillId="0" borderId="0" applyAlignment="1" pivotButton="0" quotePrefix="0" xfId="0">
      <alignment horizontal="general" vertical="top" wrapText="1"/>
    </xf>
    <xf numFmtId="0" fontId="12" fillId="0" borderId="0" applyAlignment="1" pivotButton="0" quotePrefix="0" xfId="0">
      <alignment horizontal="general" vertical="top" wrapText="1"/>
    </xf>
    <xf numFmtId="0" fontId="13" fillId="0" borderId="0" applyAlignment="1" pivotButton="0" quotePrefix="0" xfId="0">
      <alignment horizontal="general" vertical="top" wrapText="1"/>
    </xf>
    <xf numFmtId="0" fontId="14" fillId="0" borderId="0" applyAlignment="1" pivotButton="0" quotePrefix="0" xfId="0">
      <alignment horizontal="general" vertical="top" wrapText="1"/>
    </xf>
    <xf numFmtId="0" fontId="6" fillId="0" borderId="0" applyAlignment="1" pivotButton="0" quotePrefix="0" xfId="0">
      <alignment horizontal="general" vertical="bottom"/>
    </xf>
    <xf numFmtId="2" fontId="15" fillId="4" borderId="0" applyAlignment="1" pivotButton="0" quotePrefix="0" xfId="0">
      <alignment horizontal="general" vertical="bottom"/>
    </xf>
    <xf numFmtId="0" fontId="4" fillId="2" borderId="0" applyAlignment="1" pivotButton="0" quotePrefix="0" xfId="0">
      <alignment horizontal="left" vertical="center"/>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center" vertical="center" wrapText="1"/>
    </xf>
    <xf numFmtId="0" fontId="5" fillId="3" borderId="1" applyAlignment="1" pivotButton="0" quotePrefix="0" xfId="0">
      <alignment horizontal="general" vertical="top"/>
    </xf>
    <xf numFmtId="0" fontId="6" fillId="3" borderId="1" applyAlignment="1" pivotButton="0" quotePrefix="0" xfId="0">
      <alignment horizontal="center" vertical="top"/>
    </xf>
    <xf numFmtId="0" fontId="5" fillId="3" borderId="1" applyAlignment="1" pivotButton="0" quotePrefix="0" xfId="0">
      <alignment horizontal="general" vertical="top" wrapText="1"/>
    </xf>
    <xf numFmtId="3" fontId="5" fillId="3" borderId="1" applyAlignment="1" pivotButton="0" quotePrefix="0" xfId="0">
      <alignment horizontal="general" vertical="top"/>
    </xf>
    <xf numFmtId="0" fontId="5" fillId="4" borderId="1" applyAlignment="1" pivotButton="0" quotePrefix="0" xfId="0">
      <alignment horizontal="general" vertical="top"/>
    </xf>
    <xf numFmtId="0" fontId="5" fillId="4" borderId="1" applyAlignment="1" pivotButton="0" quotePrefix="0" xfId="0">
      <alignment horizontal="general" vertical="top" wrapText="1"/>
    </xf>
    <xf numFmtId="0" fontId="7" fillId="3" borderId="1" applyAlignment="1" pivotButton="0" quotePrefix="0" xfId="0">
      <alignment horizontal="general" vertical="top"/>
    </xf>
    <xf numFmtId="0" fontId="8" fillId="3" borderId="1" applyAlignment="1" pivotButton="0" quotePrefix="0" xfId="0">
      <alignment horizontal="general" vertical="top"/>
    </xf>
    <xf numFmtId="0" fontId="7" fillId="3" borderId="1" applyAlignment="1" pivotButton="0" quotePrefix="0" xfId="0">
      <alignment horizontal="general" vertical="top" wrapText="1"/>
    </xf>
    <xf numFmtId="0" fontId="9" fillId="3" borderId="1" applyAlignment="1" pivotButton="0" quotePrefix="0" xfId="0">
      <alignment horizontal="general" vertical="top" wrapText="1"/>
    </xf>
    <xf numFmtId="0" fontId="5" fillId="5" borderId="1" applyAlignment="1" pivotButton="0" quotePrefix="0" xfId="0">
      <alignment horizontal="general" vertical="top"/>
    </xf>
    <xf numFmtId="0" fontId="5" fillId="5" borderId="1" applyAlignment="1" pivotButton="0" quotePrefix="0" xfId="0">
      <alignment horizontal="center" vertical="top"/>
    </xf>
    <xf numFmtId="0" fontId="5" fillId="5" borderId="1" applyAlignment="1" pivotButton="0" quotePrefix="0" xfId="0">
      <alignment horizontal="general" vertical="top" wrapText="1"/>
    </xf>
    <xf numFmtId="3" fontId="5" fillId="5" borderId="1" applyAlignment="1" pivotButton="0" quotePrefix="0" xfId="0">
      <alignment horizontal="general" vertical="top"/>
    </xf>
    <xf numFmtId="0" fontId="7" fillId="5" borderId="1" applyAlignment="1" pivotButton="0" quotePrefix="0" xfId="0">
      <alignment horizontal="general" vertical="top"/>
    </xf>
    <xf numFmtId="0" fontId="8" fillId="5" borderId="1" applyAlignment="1" pivotButton="0" quotePrefix="0" xfId="0">
      <alignment horizontal="general" vertical="top"/>
    </xf>
    <xf numFmtId="0" fontId="5" fillId="6" borderId="1" applyAlignment="1" pivotButton="0" quotePrefix="0" xfId="0">
      <alignment horizontal="general" vertical="top"/>
    </xf>
    <xf numFmtId="0" fontId="5" fillId="6" borderId="1" applyAlignment="1" pivotButton="0" quotePrefix="0" xfId="0">
      <alignment horizontal="center" vertical="top"/>
    </xf>
    <xf numFmtId="0" fontId="5" fillId="6" borderId="1" applyAlignment="1" pivotButton="0" quotePrefix="0" xfId="0">
      <alignment horizontal="general" vertical="top" wrapText="1"/>
    </xf>
    <xf numFmtId="3" fontId="5" fillId="6" borderId="1" applyAlignment="1" pivotButton="0" quotePrefix="0" xfId="0">
      <alignment horizontal="general" vertical="top"/>
    </xf>
    <xf numFmtId="0" fontId="7" fillId="6" borderId="1" applyAlignment="1" pivotButton="0" quotePrefix="0" xfId="0">
      <alignment horizontal="general" vertical="top"/>
    </xf>
    <xf numFmtId="0" fontId="8" fillId="6" borderId="1" applyAlignment="1" pivotButton="0" quotePrefix="0" xfId="0">
      <alignment horizontal="general" vertical="top"/>
    </xf>
    <xf numFmtId="0" fontId="5" fillId="0" borderId="1" applyAlignment="1" pivotButton="0" quotePrefix="0" xfId="0">
      <alignment horizontal="general" vertical="top"/>
    </xf>
    <xf numFmtId="0" fontId="5" fillId="0" borderId="1" applyAlignment="1" pivotButton="0" quotePrefix="0" xfId="0">
      <alignment horizontal="center" vertical="top"/>
    </xf>
    <xf numFmtId="0" fontId="5" fillId="0" borderId="1" applyAlignment="1" pivotButton="0" quotePrefix="0" xfId="0">
      <alignment horizontal="general" vertical="top" wrapText="1"/>
    </xf>
    <xf numFmtId="3" fontId="5" fillId="0" borderId="1" applyAlignment="1" pivotButton="0" quotePrefix="0" xfId="0">
      <alignment horizontal="general" vertical="top"/>
    </xf>
    <xf numFmtId="0" fontId="7" fillId="0" borderId="1" applyAlignment="1" pivotButton="0" quotePrefix="0" xfId="0">
      <alignment horizontal="general" vertical="top"/>
    </xf>
    <xf numFmtId="0" fontId="8" fillId="0" borderId="1" applyAlignment="1" pivotButton="0" quotePrefix="0" xfId="0">
      <alignment horizontal="general" vertical="top"/>
    </xf>
    <xf numFmtId="0" fontId="5" fillId="7" borderId="1" applyAlignment="1" pivotButton="0" quotePrefix="0" xfId="0">
      <alignment horizontal="general" vertical="top"/>
    </xf>
    <xf numFmtId="0" fontId="5" fillId="7" borderId="1" applyAlignment="1" pivotButton="0" quotePrefix="0" xfId="0">
      <alignment horizontal="center" vertical="top"/>
    </xf>
    <xf numFmtId="0" fontId="5" fillId="7" borderId="1" applyAlignment="1" pivotButton="0" quotePrefix="0" xfId="0">
      <alignment horizontal="general" vertical="top" wrapText="1"/>
    </xf>
    <xf numFmtId="3" fontId="5" fillId="7" borderId="1" applyAlignment="1" pivotButton="0" quotePrefix="0" xfId="0">
      <alignment horizontal="general" vertical="top"/>
    </xf>
    <xf numFmtId="0" fontId="7" fillId="7" borderId="1" applyAlignment="1" pivotButton="0" quotePrefix="0" xfId="0">
      <alignment horizontal="general" vertical="top"/>
    </xf>
    <xf numFmtId="0" fontId="8" fillId="7" borderId="1" applyAlignment="1" pivotButton="0" quotePrefix="0" xfId="0">
      <alignment horizontal="general" vertical="top"/>
    </xf>
    <xf numFmtId="0" fontId="5" fillId="8" borderId="1" applyAlignment="1" pivotButton="0" quotePrefix="0" xfId="0">
      <alignment horizontal="general" vertical="top"/>
    </xf>
    <xf numFmtId="0" fontId="5" fillId="8" borderId="1" applyAlignment="1" pivotButton="0" quotePrefix="0" xfId="0">
      <alignment horizontal="center" vertical="top"/>
    </xf>
    <xf numFmtId="0" fontId="5" fillId="8" borderId="1" applyAlignment="1" pivotButton="0" quotePrefix="0" xfId="0">
      <alignment horizontal="general" vertical="top" wrapText="1"/>
    </xf>
    <xf numFmtId="3" fontId="5" fillId="8" borderId="1" applyAlignment="1" pivotButton="0" quotePrefix="0" xfId="0">
      <alignment horizontal="general" vertical="top"/>
    </xf>
    <xf numFmtId="0" fontId="7" fillId="8" borderId="1" applyAlignment="1" pivotButton="0" quotePrefix="0" xfId="0">
      <alignment horizontal="general" vertical="top"/>
    </xf>
    <xf numFmtId="0" fontId="8" fillId="8" borderId="1" applyAlignment="1" pivotButton="0" quotePrefix="0" xfId="0">
      <alignment horizontal="general" vertical="top"/>
    </xf>
    <xf numFmtId="0" fontId="5" fillId="9" borderId="1" applyAlignment="1" pivotButton="0" quotePrefix="0" xfId="0">
      <alignment horizontal="general" vertical="top"/>
    </xf>
    <xf numFmtId="0" fontId="5" fillId="9" borderId="1" applyAlignment="1" pivotButton="0" quotePrefix="0" xfId="0">
      <alignment horizontal="center" vertical="top"/>
    </xf>
    <xf numFmtId="0" fontId="5" fillId="9" borderId="1" applyAlignment="1" pivotButton="0" quotePrefix="0" xfId="0">
      <alignment horizontal="general" vertical="top" wrapText="1"/>
    </xf>
    <xf numFmtId="3" fontId="5" fillId="9" borderId="1" applyAlignment="1" pivotButton="0" quotePrefix="0" xfId="0">
      <alignment horizontal="general" vertical="top"/>
    </xf>
    <xf numFmtId="0" fontId="7" fillId="9" borderId="1" applyAlignment="1" pivotButton="0" quotePrefix="0" xfId="0">
      <alignment horizontal="general" vertical="top"/>
    </xf>
    <xf numFmtId="0" fontId="8" fillId="9" borderId="1" applyAlignment="1" pivotButton="0" quotePrefix="0" xfId="0">
      <alignment horizontal="general" vertical="top"/>
    </xf>
    <xf numFmtId="0" fontId="11" fillId="0" borderId="0" applyAlignment="1" pivotButton="0" quotePrefix="0" xfId="0">
      <alignment horizontal="general" vertical="top" wrapText="1"/>
    </xf>
    <xf numFmtId="0" fontId="12" fillId="0" borderId="0" applyAlignment="1" pivotButton="0" quotePrefix="0" xfId="0">
      <alignment horizontal="general" vertical="top" wrapText="1"/>
    </xf>
    <xf numFmtId="0" fontId="13" fillId="0" borderId="0" applyAlignment="1" pivotButton="0" quotePrefix="0" xfId="0">
      <alignment horizontal="general" vertical="top" wrapText="1"/>
    </xf>
    <xf numFmtId="0" fontId="14" fillId="0" borderId="0" applyAlignment="1" pivotButton="0" quotePrefix="0" xfId="0">
      <alignment horizontal="general" vertical="top" wrapText="1"/>
    </xf>
    <xf numFmtId="0" fontId="6" fillId="0" borderId="0" applyAlignment="1" pivotButton="0" quotePrefix="0" xfId="0">
      <alignment horizontal="general" vertical="bottom"/>
    </xf>
    <xf numFmtId="2" fontId="15" fillId="4" borderId="0" applyAlignment="1" pivotButton="0" quotePrefix="0" xfId="0">
      <alignment horizontal="general" vertical="bottom"/>
    </xf>
    <xf numFmtId="0" fontId="4" fillId="2" borderId="0" applyAlignment="1" pivotButton="0" quotePrefix="0" xfId="0">
      <alignment horizontal="left" vertical="center"/>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3">
    <dxf>
      <fill>
        <patternFill patternType="solid">
          <fgColor rgb="FF1F3864"/>
          <bgColor rgb="FF000000"/>
        </patternFill>
      </fill>
    </dxf>
    <dxf>
      <fill>
        <patternFill patternType="solid">
          <fgColor rgb="FFDDEBF7"/>
          <bgColor rgb="FF000000"/>
        </patternFill>
      </fill>
    </dxf>
    <dxf>
      <fill>
        <patternFill patternType="solid">
          <fgColor rgb="FFE2EFDA"/>
          <bgColor rgb="FF000000"/>
        </patternFill>
      </fill>
    </dxf>
    <dxf>
      <fill>
        <patternFill patternType="solid">
          <fgColor rgb="FFE4DFEC"/>
          <bgColor rgb="FF000000"/>
        </patternFill>
      </fill>
    </dxf>
    <dxf>
      <fill>
        <patternFill patternType="solid">
          <fgColor rgb="FFEDEDED"/>
          <bgColor rgb="FF000000"/>
        </patternFill>
      </fill>
    </dxf>
    <dxf>
      <fill>
        <patternFill patternType="solid">
          <fgColor rgb="FFFCE4D6"/>
          <bgColor rgb="FF000000"/>
        </patternFill>
      </fill>
    </dxf>
    <dxf>
      <fill>
        <patternFill patternType="solid">
          <fgColor rgb="FFFFF2CC"/>
          <bgColor rgb="FF000000"/>
        </patternFill>
      </fill>
    </dxf>
    <dxf>
      <fill>
        <patternFill patternType="solid">
          <bgColor rgb="FF000000"/>
        </patternFill>
      </fill>
    </dxf>
    <dxf>
      <fill>
        <patternFill patternType="solid">
          <fgColor rgb="FFFFFFFF"/>
          <bgColor rgb="FF000000"/>
        </patternFill>
      </fill>
    </dxf>
    <dxf>
      <fill>
        <patternFill patternType="solid">
          <fgColor rgb="FFFFFF00"/>
          <bgColor rgb="FF000000"/>
        </patternFill>
      </fill>
    </dxf>
    <dxf>
      <fill>
        <patternFill patternType="solid">
          <fgColor rgb="FF0563C1"/>
          <bgColor rgb="FF000000"/>
        </patternFill>
      </fill>
    </dxf>
    <dxf>
      <fill>
        <patternFill patternType="solid">
          <fgColor rgb="FF000000"/>
          <bgColor rgb="FF000000"/>
        </patternFill>
      </fill>
    </dxf>
    <dxf>
      <fill>
        <patternFill patternType="solid">
          <fgColor rgb="FF80808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E4DFEC"/>
      <rgbColor rgb="FF808080"/>
      <rgbColor rgb="FF9999FF"/>
      <rgbColor rgb="FF993366"/>
      <rgbColor rgb="FFFFF2CC"/>
      <rgbColor rgb="FFDDEBF7"/>
      <rgbColor rgb="FF660066"/>
      <rgbColor rgb="FFFF8080"/>
      <rgbColor rgb="FF0563C1"/>
      <rgbColor rgb="FFD0D0D0"/>
      <rgbColor rgb="FF000080"/>
      <rgbColor rgb="FFFF00FF"/>
      <rgbColor rgb="FFFFFF00"/>
      <rgbColor rgb="FF00FFFF"/>
      <rgbColor rgb="FF800080"/>
      <rgbColor rgb="FF800000"/>
      <rgbColor rgb="FF008080"/>
      <rgbColor rgb="FF0000FF"/>
      <rgbColor rgb="FF00CCFF"/>
      <rgbColor rgb="FFEDEDED"/>
      <rgbColor rgb="FFE2EFDA"/>
      <rgbColor rgb="FFFFFF99"/>
      <rgbColor rgb="FF99CCFF"/>
      <rgbColor rgb="FFFF99CC"/>
      <rgbColor rgb="FFCC99FF"/>
      <rgbColor rgb="FFFCE4D6"/>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comments/comment1.xml><?xml version="1.0" encoding="utf-8"?>
<comments xmlns="http://schemas.openxmlformats.org/spreadsheetml/2006/main">
  <authors>
    <author>Unknown Author</author>
  </authors>
  <commentList>
    <comment ref="Q1" authorId="0" shapeId="0">
      <text>
        <t>Bei den violetten Zeilen (Konzern-HQ CH) steht hier das Mandat des Schweizer Standorts:
GLOBAL-HQ = Weltzentrale
EMEA-HQ = Europa/Nahost/Afrika
DIVISIONS-HQ = Weltsitz einer Division
GROSSSTANDORT = grosses Werk oder F&amp;E, ohne HQ-Mandat</t>
      </text>
    </comment>
    <comment ref="Y1" authorId="0" shapeId="0">
      <text>
        <t>Am 04.09.2026 einzeln getestet: nur URLs, die im Abruf tatsächlich Stellentitel geliefert haben.
Leere Zelle = Firma nicht in Prio 1.
'nicht abrufbar' = Seite existiert, gibt die Liste aber nur per JavaScript aus.</t>
      </text>
    </comment>
  </commentList>
</comment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Relationships xmlns="http://schemas.openxmlformats.org/package/2006/relationships"><Relationship Type="http://schemas.openxmlformats.org/officeDocument/2006/relationships/hyperlink" Target="https://www.abb.com/global/en/company/annual-reporting-suite/key-figures" TargetMode="External" Id="rId1" /><Relationship Type="http://schemas.openxmlformats.org/officeDocument/2006/relationships/hyperlink" Target="https://www.jobs.ch/de/stellenangebote/?term=ABB" TargetMode="External" Id="rId2" /><Relationship Type="http://schemas.openxmlformats.org/officeDocument/2006/relationships/hyperlink" Target="https://www.jobs.ch/en/companies/55089-abb-schweiz-ag/" TargetMode="External" Id="rId3" /><Relationship Type="http://schemas.openxmlformats.org/officeDocument/2006/relationships/hyperlink" Target="https://www.amcor.com/investors" TargetMode="External" Id="rId4" /><Relationship Type="http://schemas.openxmlformats.org/officeDocument/2006/relationships/hyperlink" Target="https://www.jobs.ch/de/stellenangebote/?term=Amcor" TargetMode="External" Id="rId5" /><Relationship Type="http://schemas.openxmlformats.org/officeDocument/2006/relationships/hyperlink" Target="https://www.hitachienergy.com/company/company-profile" TargetMode="External" Id="rId6" /><Relationship Type="http://schemas.openxmlformats.org/officeDocument/2006/relationships/hyperlink" Target="https://www.jobs.ch/de/stellenangebote/?term=Hitachi%20Energy" TargetMode="External" Id="rId7" /><Relationship Type="http://schemas.openxmlformats.org/officeDocument/2006/relationships/hyperlink" Target="https://careers.hitachi.com/search/hitachi-energy/jobs/in/country/switzerland" TargetMode="External" Id="rId8" /><Relationship Type="http://schemas.openxmlformats.org/officeDocument/2006/relationships/hyperlink" Target="https://www.holcim.com/media/media-releases/full-year-2025-results" TargetMode="External" Id="rId9" /><Relationship Type="http://schemas.openxmlformats.org/officeDocument/2006/relationships/hyperlink" Target="https://www.jobs.ch/de/stellenangebote/?term=Holcim" TargetMode="External" Id="rId10" /><Relationship Type="http://schemas.openxmlformats.org/officeDocument/2006/relationships/hyperlink" Target="https://careers.holcimgroup.com/search/" TargetMode="External" Id="rId11" /><Relationship Type="http://schemas.openxmlformats.org/officeDocument/2006/relationships/hyperlink" Target="https://www.liebherr.com/en-us/n/liebherr-sees-stable-growth-in-the-2025-business-year-244544-3782185" TargetMode="External" Id="rId12" /><Relationship Type="http://schemas.openxmlformats.org/officeDocument/2006/relationships/hyperlink" Target="https://www.jobs.ch/de/stellenangebote/?term=Liebherr" TargetMode="External" Id="rId13" /><Relationship Type="http://schemas.openxmlformats.org/officeDocument/2006/relationships/hyperlink" Target="https://www.liebherr.com/de/deu/karriere/offene-stellen/offene-stellen.html" TargetMode="External" Id="rId14" /><Relationship Type="http://schemas.openxmlformats.org/officeDocument/2006/relationships/hyperlink" Target="https://www.sika.com/en/media/media-releases/2026/sika-reports-full-year-2025-results.html" TargetMode="External" Id="rId15" /><Relationship Type="http://schemas.openxmlformats.org/officeDocument/2006/relationships/hyperlink" Target="https://www.jobs.ch/de/stellenangebote/?term=Sika" TargetMode="External" Id="rId16" /><Relationship Type="http://schemas.openxmlformats.org/officeDocument/2006/relationships/hyperlink" Target="https://group.schindler.com/en/media/press-releases/annual-results-2025.html" TargetMode="External" Id="rId17" /><Relationship Type="http://schemas.openxmlformats.org/officeDocument/2006/relationships/hyperlink" Target="https://www.jobs.ch/de/stellenangebote/?term=Schindler" TargetMode="External" Id="rId18" /><Relationship Type="http://schemas.openxmlformats.org/officeDocument/2006/relationships/hyperlink" Target="https://job.schindler.com/search/" TargetMode="External" Id="rId19" /><Relationship Type="http://schemas.openxmlformats.org/officeDocument/2006/relationships/hyperlink" Target="https://www.globenewswire.com/news-release/2026/01/29/3228178/0/en/STMicroelectronics-Reports-Q4-and-FY-2025-Financial-Results.html" TargetMode="External" Id="rId20" /><Relationship Type="http://schemas.openxmlformats.org/officeDocument/2006/relationships/hyperlink" Target="https://www.jobs.ch/de/stellenangebote/?term=STMicroelectronics" TargetMode="External" Id="rId21" /><Relationship Type="http://schemas.openxmlformats.org/officeDocument/2006/relationships/hyperlink" Target="https://www.alcon.com/investor-relations" TargetMode="External" Id="rId22" /><Relationship Type="http://schemas.openxmlformats.org/officeDocument/2006/relationships/hyperlink" Target="https://www.jobs.ch/de/stellenangebote/?term=Alcon" TargetMode="External" Id="rId23" /><Relationship Type="http://schemas.openxmlformats.org/officeDocument/2006/relationships/hyperlink" Target="https://www.sgs.com/en/news/2026/02/2025-full-year-results" TargetMode="External" Id="rId24" /><Relationship Type="http://schemas.openxmlformats.org/officeDocument/2006/relationships/hyperlink" Target="https://www.jobs.ch/de/stellenangebote/?term=SGS" TargetMode="External" Id="rId25" /><Relationship Type="http://schemas.openxmlformats.org/officeDocument/2006/relationships/hyperlink" Target="https://careers.smartrecruiters.com/SGS" TargetMode="External" Id="rId26" /><Relationship Type="http://schemas.openxmlformats.org/officeDocument/2006/relationships/hyperlink" Target="https://www.hilti.group/content/hilti/CP/XX/en/company/media-relations/media-releases/2025-business-result.html" TargetMode="External" Id="rId27" /><Relationship Type="http://schemas.openxmlformats.org/officeDocument/2006/relationships/hyperlink" Target="https://www.jobs.ch/de/stellenangebote/?term=Hilti" TargetMode="External" Id="rId28" /><Relationship Type="http://schemas.openxmlformats.org/officeDocument/2006/relationships/hyperlink" Target="https://careers.hilti.group/en-us/jobs/" TargetMode="External" Id="rId29" /><Relationship Type="http://schemas.openxmlformats.org/officeDocument/2006/relationships/hyperlink" Target="https://www.swatchgroup.com/en/services/archive/2026/key-figures-2025" TargetMode="External" Id="rId30" /><Relationship Type="http://schemas.openxmlformats.org/officeDocument/2006/relationships/hyperlink" Target="https://www.jobs.ch/de/stellenangebote/?term=Swatch" TargetMode="External" Id="rId31" /><Relationship Type="http://schemas.openxmlformats.org/officeDocument/2006/relationships/hyperlink" Target="https://www.swatchgroup.com/en/job-finder" TargetMode="External" Id="rId32" /><Relationship Type="http://schemas.openxmlformats.org/officeDocument/2006/relationships/hyperlink" Target="https://www8.garmin.com/aboutGarmin/invRelations/reports/2025_Form_10-K.pdf" TargetMode="External" Id="rId33" /><Relationship Type="http://schemas.openxmlformats.org/officeDocument/2006/relationships/hyperlink" Target="https://www.jobs.ch/de/stellenangebote/?term=Garmin" TargetMode="External" Id="rId34" /><Relationship Type="http://schemas.openxmlformats.org/officeDocument/2006/relationships/hyperlink" Target="https://www.georgfischer.com/content/dam/gfcorp/documents/newsroom/media-releases/annual-report-2025/20260225-ad-hoc-announcement-annual-report-2025-en.pdf" TargetMode="External" Id="rId35" /><Relationship Type="http://schemas.openxmlformats.org/officeDocument/2006/relationships/hyperlink" Target="https://www.jobs.ch/de/stellenangebote/?term=Georg%20Fischer" TargetMode="External" Id="rId36" /><Relationship Type="http://schemas.openxmlformats.org/officeDocument/2006/relationships/hyperlink" Target="https://www.clariant.com/en/Corporate/News/2026/02/Clariant-delivers-third-year-of-strong-EBITDA-margin-improvement" TargetMode="External" Id="rId37" /><Relationship Type="http://schemas.openxmlformats.org/officeDocument/2006/relationships/hyperlink" Target="https://www.jobs.ch/de/stellenangebote/?term=Clariant" TargetMode="External" Id="rId38" /><Relationship Type="http://schemas.openxmlformats.org/officeDocument/2006/relationships/hyperlink" Target="https://careers.clariant.com/search/" TargetMode="External" Id="rId39" /><Relationship Type="http://schemas.openxmlformats.org/officeDocument/2006/relationships/hyperlink" Target="https://www.businesswire.com/news/home/20260505206276/en/Logitech-Announces-Q4-and-Full-Fiscal-Year-2026-Results" TargetMode="External" Id="rId40" /><Relationship Type="http://schemas.openxmlformats.org/officeDocument/2006/relationships/hyperlink" Target="https://www.jobs.ch/de/stellenangebote/?term=Logitech" TargetMode="External" Id="rId41" /><Relationship Type="http://schemas.openxmlformats.org/officeDocument/2006/relationships/hyperlink" Target="https://www.muehle-mischfutter.de/artikel/endress-hauser-2025-uber-vier-mrd--euro-umsatz" TargetMode="External" Id="rId42" /><Relationship Type="http://schemas.openxmlformats.org/officeDocument/2006/relationships/hyperlink" Target="https://www.jobs.ch/de/stellenangebote/?term=Endress%20Hauser" TargetMode="External" Id="rId43" /><Relationship Type="http://schemas.openxmlformats.org/officeDocument/2006/relationships/hyperlink" Target="https://www.stadlerrail.com/en/investors/" TargetMode="External" Id="rId44" /><Relationship Type="http://schemas.openxmlformats.org/officeDocument/2006/relationships/hyperlink" Target="https://www.jobs.ch/de/stellenangebote/?term=Stadler%20Rail" TargetMode="External" Id="rId45" /><Relationship Type="http://schemas.openxmlformats.org/officeDocument/2006/relationships/hyperlink" Target="https://jobs.stadlerrail.ch/" TargetMode="External" Id="rId46" /><Relationship Type="http://schemas.openxmlformats.org/officeDocument/2006/relationships/hyperlink" Target="https://report.sonova.com/2026/en/startpage" TargetMode="External" Id="rId47" /><Relationship Type="http://schemas.openxmlformats.org/officeDocument/2006/relationships/hyperlink" Target="https://www.jobs.ch/de/stellenangebote/?term=Sonova" TargetMode="External" Id="rId48" /><Relationship Type="http://schemas.openxmlformats.org/officeDocument/2006/relationships/hyperlink" Target="https://jobs.sonova.com/go/All-Jobs/4577301/" TargetMode="External" Id="rId49" /><Relationship Type="http://schemas.openxmlformats.org/officeDocument/2006/relationships/hyperlink" Target="https://www.sulzer.com/en/-/media/files/news/2026/20260226sulzer-exceeds-chf-550-million-ebitda.pdf" TargetMode="External" Id="rId50" /><Relationship Type="http://schemas.openxmlformats.org/officeDocument/2006/relationships/hyperlink" Target="https://www.jobs.ch/de/stellenangebote/?term=Sulzer" TargetMode="External" Id="rId51" /><Relationship Type="http://schemas.openxmlformats.org/officeDocument/2006/relationships/hyperlink" Target="https://investor.mt.com/news/news-details/2026/Mettler-Toledo-International-Inc--Reports-Fourth-Quarter-2025-Results/default.aspx" TargetMode="External" Id="rId52" /><Relationship Type="http://schemas.openxmlformats.org/officeDocument/2006/relationships/hyperlink" Target="https://www.jobs.ch/de/stellenangebote/?term=Mettler-Toledo" TargetMode="External" Id="rId53" /><Relationship Type="http://schemas.openxmlformats.org/officeDocument/2006/relationships/hyperlink" Target="https://jobs.mt.com/en/search-jobs" TargetMode="External" Id="rId54" /><Relationship Type="http://schemas.openxmlformats.org/officeDocument/2006/relationships/hyperlink" Target="https://www.geberit.com/assets/downloads/media-releases/2026/media-release-annual-results-2025.pdf" TargetMode="External" Id="rId55" /><Relationship Type="http://schemas.openxmlformats.org/officeDocument/2006/relationships/hyperlink" Target="https://www.jobs.ch/de/stellenangebote/?term=Geberit" TargetMode="External" Id="rId56" /><Relationship Type="http://schemas.openxmlformats.org/officeDocument/2006/relationships/hyperlink" Target="https://ams-osram.com/press/corporate-info" TargetMode="External" Id="rId57" /><Relationship Type="http://schemas.openxmlformats.org/officeDocument/2006/relationships/hyperlink" Target="https://www.jobs.ch/de/stellenangebote/?term=ams-OSRAM" TargetMode="External" Id="rId58" /><Relationship Type="http://schemas.openxmlformats.org/officeDocument/2006/relationships/hyperlink" Target="https://www.sfs.com/ch/en/sfs-group/sfs-at-a-glance/" TargetMode="External" Id="rId59" /><Relationship Type="http://schemas.openxmlformats.org/officeDocument/2006/relationships/hyperlink" Target="https://www.jobs.ch/de/stellenangebote/?term=SFS" TargetMode="External" Id="rId60" /><Relationship Type="http://schemas.openxmlformats.org/officeDocument/2006/relationships/hyperlink" Target="https://www.sig.biz/investors" TargetMode="External" Id="rId61" /><Relationship Type="http://schemas.openxmlformats.org/officeDocument/2006/relationships/hyperlink" Target="https://www.jobs.ch/de/stellenangebote/?term=SIG" TargetMode="External" Id="rId62" /><Relationship Type="http://schemas.openxmlformats.org/officeDocument/2006/relationships/hyperlink" Target="https://stockanalysis.com/quote/swx/BUCN/financials/" TargetMode="External" Id="rId63" /><Relationship Type="http://schemas.openxmlformats.org/officeDocument/2006/relationships/hyperlink" Target="https://www.jobs.ch/de/stellenangebote/?term=Bucher%20Municipal" TargetMode="External" Id="rId64" /><Relationship Type="http://schemas.openxmlformats.org/officeDocument/2006/relationships/hyperlink" Target="https://stockanalysis.com/quote/swx/DOKA/financials/" TargetMode="External" Id="rId65" /><Relationship Type="http://schemas.openxmlformats.org/officeDocument/2006/relationships/hyperlink" Target="https://www.jobs.ch/de/stellenangebote/?term=dormakaba" TargetMode="External" Id="rId66" /><Relationship Type="http://schemas.openxmlformats.org/officeDocument/2006/relationships/hyperlink" Target="https://www.moneycab.com/schweiz/buehler-buesst-2025-an-umsatz-ein/" TargetMode="External" Id="rId67" /><Relationship Type="http://schemas.openxmlformats.org/officeDocument/2006/relationships/hyperlink" Target="https://www.jobs.ch/de/stellenangebote/?term=B&#252;hler" TargetMode="External" Id="rId68" /><Relationship Type="http://schemas.openxmlformats.org/officeDocument/2006/relationships/hyperlink" Target="https://stockanalysis.com/quote/swx/STMN/financials/" TargetMode="External" Id="rId69" /><Relationship Type="http://schemas.openxmlformats.org/officeDocument/2006/relationships/hyperlink" Target="https://www.jobs.ch/de/stellenangebote/?term=Straumann" TargetMode="External" Id="rId70" /><Relationship Type="http://schemas.openxmlformats.org/officeDocument/2006/relationships/hyperlink" Target="https://www.franke.com/de/de/gruppe/medien/2024/artemis-group-results-2024.html" TargetMode="External" Id="rId71" /><Relationship Type="http://schemas.openxmlformats.org/officeDocument/2006/relationships/hyperlink" Target="https://www.jobs.ch/de/stellenangebote/?term=Franke" TargetMode="External" Id="rId72" /><Relationship Type="http://schemas.openxmlformats.org/officeDocument/2006/relationships/hyperlink" Target="https://stockanalysis.com/quote/swx/STLN/revenue/" TargetMode="External" Id="rId73" /><Relationship Type="http://schemas.openxmlformats.org/officeDocument/2006/relationships/hyperlink" Target="https://www.jobs.ch/de/stellenangebote/?term=Swiss%20Steel" TargetMode="External" Id="rId74" /><Relationship Type="http://schemas.openxmlformats.org/officeDocument/2006/relationships/hyperlink" Target="https://stockanalysis.com/quote/swx/AUTN/financials/" TargetMode="External" Id="rId75" /><Relationship Type="http://schemas.openxmlformats.org/officeDocument/2006/relationships/hyperlink" Target="https://www.jobs.ch/de/stellenangebote/?term=Autoneum" TargetMode="External" Id="rId76" /><Relationship Type="http://schemas.openxmlformats.org/officeDocument/2006/relationships/hyperlink" Target="https://stockanalysis.com/quote/swx/EMSN/financials/" TargetMode="External" Id="rId77" /><Relationship Type="http://schemas.openxmlformats.org/officeDocument/2006/relationships/hyperlink" Target="https://www.jobs.ch/de/stellenangebote/?term=EMS-CHEMIE" TargetMode="External" Id="rId78" /><Relationship Type="http://schemas.openxmlformats.org/officeDocument/2006/relationships/hyperlink" Target="https://www.bobst.com/" TargetMode="External" Id="rId79" /><Relationship Type="http://schemas.openxmlformats.org/officeDocument/2006/relationships/hyperlink" Target="https://www.jobs.ch/de/stellenangebote/?term=Bobst%20Group" TargetMode="External" Id="rId80" /><Relationship Type="http://schemas.openxmlformats.org/officeDocument/2006/relationships/hyperlink" Target="https://www.pilatus-aircraft.com/assets/files/PDF/GB-2025/Pilatus-Geschaeftsbericht-2025.pdf" TargetMode="External" Id="rId81" /><Relationship Type="http://schemas.openxmlformats.org/officeDocument/2006/relationships/hyperlink" Target="https://www.jobs.ch/de/stellenangebote/?term=Pilatus" TargetMode="External" Id="rId82" /><Relationship Type="http://schemas.openxmlformats.org/officeDocument/2006/relationships/hyperlink" Target="https://www.staubli.com/ch/de/home.html" TargetMode="External" Id="rId83" /><Relationship Type="http://schemas.openxmlformats.org/officeDocument/2006/relationships/hyperlink" Target="https://www.jobs.ch/de/stellenangebote/?term=St&#228;ubli" TargetMode="External" Id="rId84" /><Relationship Type="http://schemas.openxmlformats.org/officeDocument/2006/relationships/hyperlink" Target="https://careers.smartrecruiters.com/staubligroup" TargetMode="External" Id="rId85" /><Relationship Type="http://schemas.openxmlformats.org/officeDocument/2006/relationships/hyperlink" Target="https://stockanalysis.com/quote/swx/OERL/financials/" TargetMode="External" Id="rId86" /><Relationship Type="http://schemas.openxmlformats.org/officeDocument/2006/relationships/hyperlink" Target="https://www.jobs.ch/de/stellenangebote/?term=OC%20Oerlikon" TargetMode="External" Id="rId87" /><Relationship Type="http://schemas.openxmlformats.org/officeDocument/2006/relationships/hyperlink" Target="https://www.aebi-schmidt.com/en/investors" TargetMode="External" Id="rId88" /><Relationship Type="http://schemas.openxmlformats.org/officeDocument/2006/relationships/hyperlink" Target="https://www.jobs.ch/de/stellenangebote/?term=Aebi%20Schmidt" TargetMode="External" Id="rId89" /><Relationship Type="http://schemas.openxmlformats.org/officeDocument/2006/relationships/hyperlink" Target="https://www.grinding.ch/" TargetMode="External" Id="rId90" /><Relationship Type="http://schemas.openxmlformats.org/officeDocument/2006/relationships/hyperlink" Target="https://www.jobs.ch/de/stellenangebote/?term=United%20Grinding" TargetMode="External" Id="rId91" /><Relationship Type="http://schemas.openxmlformats.org/officeDocument/2006/relationships/hyperlink" Target="https://www.weltmarktfuehrerindex.de/profil/ammann" TargetMode="External" Id="rId92" /><Relationship Type="http://schemas.openxmlformats.org/officeDocument/2006/relationships/hyperlink" Target="https://www.jobs.ch/de/stellenangebote/?term=Ammann" TargetMode="External" Id="rId93" /><Relationship Type="http://schemas.openxmlformats.org/officeDocument/2006/relationships/hyperlink" Target="https://www.belimo.com/ch/de_CH/about-belimo/investor-relations" TargetMode="External" Id="rId94" /><Relationship Type="http://schemas.openxmlformats.org/officeDocument/2006/relationships/hyperlink" Target="https://www.jobs.ch/de/stellenangebote/?term=Belimo" TargetMode="External" Id="rId95" /><Relationship Type="http://schemas.openxmlformats.org/officeDocument/2006/relationships/hyperlink" Target="https://www.jobs.ch/en/companies/16954-belimo-automation-ag/" TargetMode="External" Id="rId96" /><Relationship Type="http://schemas.openxmlformats.org/officeDocument/2006/relationships/hyperlink" Target="https://stockanalysis.com/quote/swx/DAE/financials/" TargetMode="External" Id="rId97" /><Relationship Type="http://schemas.openxmlformats.org/officeDocument/2006/relationships/hyperlink" Target="https://www.jobs.ch/de/stellenangebote/?term=D&#228;twyler" TargetMode="External" Id="rId98" /><Relationship Type="http://schemas.openxmlformats.org/officeDocument/2006/relationships/hyperlink" Target="https://careers.datwyler.com/search/" TargetMode="External" Id="rId99" /><Relationship Type="http://schemas.openxmlformats.org/officeDocument/2006/relationships/hyperlink" Target="https://stockanalysis.com/quote/swx/FORN/financials/" TargetMode="External" Id="rId100" /><Relationship Type="http://schemas.openxmlformats.org/officeDocument/2006/relationships/hyperlink" Target="https://www.jobs.ch/de/stellenangebote/?term=Forbo" TargetMode="External" Id="rId101" /><Relationship Type="http://schemas.openxmlformats.org/officeDocument/2006/relationships/hyperlink" Target="https://stockanalysis.com/quote/swx/VACN/financials/" TargetMode="External" Id="rId102" /><Relationship Type="http://schemas.openxmlformats.org/officeDocument/2006/relationships/hyperlink" Target="https://www.jobs.ch/de/stellenangebote/?term=VAT%20Group" TargetMode="External" Id="rId103" /><Relationship Type="http://schemas.openxmlformats.org/officeDocument/2006/relationships/hyperlink" Target="https://careers.vatvalve.com/search/" TargetMode="External" Id="rId104" /><Relationship Type="http://schemas.openxmlformats.org/officeDocument/2006/relationships/hyperlink" Target="https://stockanalysis.com/quote/swx/BOSN/financials/" TargetMode="External" Id="rId105" /><Relationship Type="http://schemas.openxmlformats.org/officeDocument/2006/relationships/hyperlink" Target="https://www.jobs.ch/de/stellenangebote/?term=Bossard" TargetMode="External" Id="rId106" /><Relationship Type="http://schemas.openxmlformats.org/officeDocument/2006/relationships/hyperlink" Target="https://www.jobs.ch/en/companies/3501-bossard-ag/" TargetMode="External" Id="rId107" /><Relationship Type="http://schemas.openxmlformats.org/officeDocument/2006/relationships/hyperlink" Target="https://stockanalysis.com/quote/swx/BCHN/financials/" TargetMode="External" Id="rId108" /><Relationship Type="http://schemas.openxmlformats.org/officeDocument/2006/relationships/hyperlink" Target="https://www.jobs.ch/de/stellenangebote/?term=Burckhardt%20Compression" TargetMode="External" Id="rId109" /><Relationship Type="http://schemas.openxmlformats.org/officeDocument/2006/relationships/hyperlink" Target="https://careers.burckhardtcompression.com/search/" TargetMode="External" Id="rId110" /><Relationship Type="http://schemas.openxmlformats.org/officeDocument/2006/relationships/hyperlink" Target="https://stockanalysis.com/quote/swx/ACLN/financials/" TargetMode="External" Id="rId111" /><Relationship Type="http://schemas.openxmlformats.org/officeDocument/2006/relationships/hyperlink" Target="https://www.jobs.ch/de/stellenangebote/?term=Accelleron" TargetMode="External" Id="rId112" /><Relationship Type="http://schemas.openxmlformats.org/officeDocument/2006/relationships/hyperlink" Target="https://www.jobs.ch/en/companies/125399-accelleron-industries/" TargetMode="External" Id="rId113" /><Relationship Type="http://schemas.openxmlformats.org/officeDocument/2006/relationships/hyperlink" Target="https://stockanalysis.com/quote/swx/AERO/financials/" TargetMode="External" Id="rId114" /><Relationship Type="http://schemas.openxmlformats.org/officeDocument/2006/relationships/hyperlink" Target="https://www.jobs.ch/de/stellenangebote/?term=Montana%20Aerospace" TargetMode="External" Id="rId115" /><Relationship Type="http://schemas.openxmlformats.org/officeDocument/2006/relationships/hyperlink" Target="https://de.wikipedia.org/wiki/Hamilton_Bonaduz" TargetMode="External" Id="rId116" /><Relationship Type="http://schemas.openxmlformats.org/officeDocument/2006/relationships/hyperlink" Target="https://www.jobs.ch/de/stellenangebote/?term=Hamilton" TargetMode="External" Id="rId117" /><Relationship Type="http://schemas.openxmlformats.org/officeDocument/2006/relationships/hyperlink" Target="https://www.landisgyr.com/nam/en/home/news-media/newsroom/2026/Landis-Gyr-Announces-Q4-and-Full-Year-FY-2025-Financial-Results" TargetMode="External" Id="rId118" /><Relationship Type="http://schemas.openxmlformats.org/officeDocument/2006/relationships/hyperlink" Target="https://www.jobs.ch/de/stellenangebote/?term=Landis%20Gyr" TargetMode="External" Id="rId119" /><Relationship Type="http://schemas.openxmlformats.org/officeDocument/2006/relationships/hyperlink" Target="https://careers.landisgyr.com/search/" TargetMode="External" Id="rId120" /><Relationship Type="http://schemas.openxmlformats.org/officeDocument/2006/relationships/hyperlink" Target="https://stockanalysis.com/quote/swx/SWTQ/financials/" TargetMode="External" Id="rId121" /><Relationship Type="http://schemas.openxmlformats.org/officeDocument/2006/relationships/hyperlink" Target="https://www.jobs.ch/de/stellenangebote/?term=Schweiter%20Technologies" TargetMode="External" Id="rId122" /><Relationship Type="http://schemas.openxmlformats.org/officeDocument/2006/relationships/hyperlink" Target="https://stockanalysis.com/quote/swx/TECN/financials/" TargetMode="External" Id="rId123" /><Relationship Type="http://schemas.openxmlformats.org/officeDocument/2006/relationships/hyperlink" Target="https://www.jobs.ch/de/stellenangebote/?term=Tecan" TargetMode="External" Id="rId124" /><Relationship Type="http://schemas.openxmlformats.org/officeDocument/2006/relationships/hyperlink" Target="https://careers.tecan.com/search/" TargetMode="External" Id="rId125" /><Relationship Type="http://schemas.openxmlformats.org/officeDocument/2006/relationships/hyperlink" Target="https://stockanalysis.com/quote/swx/HUBN/financials/" TargetMode="External" Id="rId126" /><Relationship Type="http://schemas.openxmlformats.org/officeDocument/2006/relationships/hyperlink" Target="https://www.jobs.ch/de/stellenangebote/?term=HUBER%20SUHNER" TargetMode="External" Id="rId127" /><Relationship Type="http://schemas.openxmlformats.org/officeDocument/2006/relationships/hyperlink" Target="https://recruiting.hubersuhner.com/Jobs/All?lang=de" TargetMode="External" Id="rId128" /><Relationship Type="http://schemas.openxmlformats.org/officeDocument/2006/relationships/hyperlink" Target="https://www.wirtschaftszeit.li/news/856-millionen-franken-ivoclar-gruppe-meldet-umsatz-fuer-2023/" TargetMode="External" Id="rId129" /><Relationship Type="http://schemas.openxmlformats.org/officeDocument/2006/relationships/hyperlink" Target="https://www.jobs.ch/de/stellenangebote/?term=Ivoclar%20Group" TargetMode="External" Id="rId130" /><Relationship Type="http://schemas.openxmlformats.org/officeDocument/2006/relationships/hyperlink" Target="https://www.jobs.ch/en/companies/6731-ivoclar-vivadent-ag/" TargetMode="External" Id="rId131" /><Relationship Type="http://schemas.openxmlformats.org/officeDocument/2006/relationships/hyperlink" Target="https://de.wikipedia.org/wiki/Habasit" TargetMode="External" Id="rId132" /><Relationship Type="http://schemas.openxmlformats.org/officeDocument/2006/relationships/hyperlink" Target="https://www.jobs.ch/de/stellenangebote/?term=Habasit" TargetMode="External" Id="rId133" /><Relationship Type="http://schemas.openxmlformats.org/officeDocument/2006/relationships/hyperlink" Target="https://www.cash.ch/news/ruag-mro-steigert-umsatz-und-gewinn-deutlich-922782" TargetMode="External" Id="rId134" /><Relationship Type="http://schemas.openxmlformats.org/officeDocument/2006/relationships/hyperlink" Target="https://www.jobs.ch/de/stellenangebote/?term=RUAG" TargetMode="External" Id="rId135" /><Relationship Type="http://schemas.openxmlformats.org/officeDocument/2006/relationships/hyperlink" Target="https://stockanalysis.com/quote/swx/KARN/financials/" TargetMode="External" Id="rId136" /><Relationship Type="http://schemas.openxmlformats.org/officeDocument/2006/relationships/hyperlink" Target="https://www.jobs.ch/de/stellenangebote/?term=Kardex" TargetMode="External" Id="rId137" /><Relationship Type="http://schemas.openxmlformats.org/officeDocument/2006/relationships/hyperlink" Target="https://stockanalysis.com/quote/swx/VETN/financials/" TargetMode="External" Id="rId138" /><Relationship Type="http://schemas.openxmlformats.org/officeDocument/2006/relationships/hyperlink" Target="https://www.jobs.ch/de/stellenangebote/?term=Vetropack" TargetMode="External" Id="rId139" /><Relationship Type="http://schemas.openxmlformats.org/officeDocument/2006/relationships/hyperlink" Target="https://stockanalysis.com/quote/swx/YPSN/financials/" TargetMode="External" Id="rId140" /><Relationship Type="http://schemas.openxmlformats.org/officeDocument/2006/relationships/hyperlink" Target="https://www.jobs.ch/de/stellenangebote/?term=Ypsomed" TargetMode="External" Id="rId141" /><Relationship Type="http://schemas.openxmlformats.org/officeDocument/2006/relationships/hyperlink" Target="https://stockanalysis.com/quote/swx/ZEHN/financials/" TargetMode="External" Id="rId142" /><Relationship Type="http://schemas.openxmlformats.org/officeDocument/2006/relationships/hyperlink" Target="https://www.jobs.ch/de/stellenangebote/?term=Zehnder" TargetMode="External" Id="rId143" /><Relationship Type="http://schemas.openxmlformats.org/officeDocument/2006/relationships/hyperlink" Target="https://stockanalysis.com/quote/swx/PMN/financials/" TargetMode="External" Id="rId144" /><Relationship Type="http://schemas.openxmlformats.org/officeDocument/2006/relationships/hyperlink" Target="https://www.jobs.ch/de/stellenangebote/?term=Phoenix%20Mecano" TargetMode="External" Id="rId145" /><Relationship Type="http://schemas.openxmlformats.org/officeDocument/2006/relationships/hyperlink" Target="https://stockanalysis.com/quote/swx/RIEN/financials/" TargetMode="External" Id="rId146" /><Relationship Type="http://schemas.openxmlformats.org/officeDocument/2006/relationships/hyperlink" Target="https://www.jobs.ch/de/stellenangebote/?term=Rieter" TargetMode="External" Id="rId147" /><Relationship Type="http://schemas.openxmlformats.org/officeDocument/2006/relationships/hyperlink" Target="https://live.solique.ch/rieter/en/internet" TargetMode="External" Id="rId148" /><Relationship Type="http://schemas.openxmlformats.org/officeDocument/2006/relationships/hyperlink" Target="https://www.cetoday.ch/elektro/2024-05-13/jura-investiert-in-innovation-design-und-service" TargetMode="External" Id="rId149" /><Relationship Type="http://schemas.openxmlformats.org/officeDocument/2006/relationships/hyperlink" Target="https://www.jobs.ch/de/stellenangebote/?term=Jura%20Elektroapparate" TargetMode="External" Id="rId150" /><Relationship Type="http://schemas.openxmlformats.org/officeDocument/2006/relationships/hyperlink" Target="https://stockanalysis.com/quote/swx/FTON/financials/" TargetMode="External" Id="rId151" /><Relationship Type="http://schemas.openxmlformats.org/officeDocument/2006/relationships/hyperlink" Target="https://www.jobs.ch/de/stellenangebote/?term=Feintool" TargetMode="External" Id="rId152" /><Relationship Type="http://schemas.openxmlformats.org/officeDocument/2006/relationships/hyperlink" Target="https://www.sauter-controls.com/" TargetMode="External" Id="rId153" /><Relationship Type="http://schemas.openxmlformats.org/officeDocument/2006/relationships/hyperlink" Target="https://www.jobs.ch/de/stellenangebote/?term=Sauter" TargetMode="External" Id="rId154" /><Relationship Type="http://schemas.openxmlformats.org/officeDocument/2006/relationships/hyperlink" Target="https://www.cash.ch/news/top-news/arbonia-steigert-2025-umsatz-und-weist-verlust-aus-914119" TargetMode="External" Id="rId155" /><Relationship Type="http://schemas.openxmlformats.org/officeDocument/2006/relationships/hyperlink" Target="https://www.jobs.ch/de/stellenangebote/?term=Arbonia" TargetMode="External" Id="rId156" /><Relationship Type="http://schemas.openxmlformats.org/officeDocument/2006/relationships/hyperlink" Target="https://dewiki.de/Lexikon/Eugster/Frismag" TargetMode="External" Id="rId157" /><Relationship Type="http://schemas.openxmlformats.org/officeDocument/2006/relationships/hyperlink" Target="https://www.jobs.ch/de/stellenangebote/?term=Eugster%20Frismag" TargetMode="External" Id="rId158" /><Relationship Type="http://schemas.openxmlformats.org/officeDocument/2006/relationships/hyperlink" Target="https://report.cicor.com/ar25/key-figures" TargetMode="External" Id="rId159" /><Relationship Type="http://schemas.openxmlformats.org/officeDocument/2006/relationships/hyperlink" Target="https://www.jobs.ch/de/stellenangebote/?term=Cicor" TargetMode="External" Id="rId160" /><Relationship Type="http://schemas.openxmlformats.org/officeDocument/2006/relationships/hyperlink" Target="https://mtdcnc.com/news/bystronic/bystronic-reports-strong-2025-results-despite-economic-challenges/" TargetMode="External" Id="rId161" /><Relationship Type="http://schemas.openxmlformats.org/officeDocument/2006/relationships/hyperlink" Target="https://www.jobs.ch/de/stellenangebote/?term=Bystronic" TargetMode="External" Id="rId162" /><Relationship Type="http://schemas.openxmlformats.org/officeDocument/2006/relationships/hyperlink" Target="https://de.wikipedia.org/wiki/Medela" TargetMode="External" Id="rId163" /><Relationship Type="http://schemas.openxmlformats.org/officeDocument/2006/relationships/hyperlink" Target="https://www.jobs.ch/de/stellenangebote/?term=Medela" TargetMode="External" Id="rId164" /><Relationship Type="http://schemas.openxmlformats.org/officeDocument/2006/relationships/hyperlink" Target="https://www.cash.ch/news/maxon-halt-umsatz-stabil-neue-prasidentin-947917" TargetMode="External" Id="rId165" /><Relationship Type="http://schemas.openxmlformats.org/officeDocument/2006/relationships/hyperlink" Target="https://www.jobs.ch/de/stellenangebote/?term=maxon%20motor" TargetMode="External" Id="rId166" /><Relationship Type="http://schemas.openxmlformats.org/officeDocument/2006/relationships/hyperlink" Target="https://recruiting.maxongroup.com/Jobs/All?lang=de" TargetMode="External" Id="rId167" /><Relationship Type="http://schemas.openxmlformats.org/officeDocument/2006/relationships/hyperlink" Target="https://stockanalysis.com/quote/swx/KOMN/financials/" TargetMode="External" Id="rId168" /><Relationship Type="http://schemas.openxmlformats.org/officeDocument/2006/relationships/hyperlink" Target="https://www.jobs.ch/de/stellenangebote/?term=Komax" TargetMode="External" Id="rId169" /><Relationship Type="http://schemas.openxmlformats.org/officeDocument/2006/relationships/hyperlink" Target="https://www.jobs.ch/de/firmen/791-komax-group/stellenangebote/" TargetMode="External" Id="rId170" /><Relationship Type="http://schemas.openxmlformats.org/officeDocument/2006/relationships/hyperlink" Target="https://stockanalysis.com/quote/swx/VZUG/financials/" TargetMode="External" Id="rId171" /><Relationship Type="http://schemas.openxmlformats.org/officeDocument/2006/relationships/hyperlink" Target="https://www.jobs.ch/de/stellenangebote/?term=V-ZUG" TargetMode="External" Id="rId172" /><Relationship Type="http://schemas.openxmlformats.org/officeDocument/2006/relationships/hyperlink" Target="https://www.cash.ch/borsen-ticker/unternehmen/acrotec-knackt-500-millionen-schwelle-beim-umsatz-562189" TargetMode="External" Id="rId173" /><Relationship Type="http://schemas.openxmlformats.org/officeDocument/2006/relationships/hyperlink" Target="https://www.jobs.ch/de/stellenangebote/?term=Acrotec" TargetMode="External" Id="rId174" /><Relationship Type="http://schemas.openxmlformats.org/officeDocument/2006/relationships/hyperlink" Target="https://stockanalysis.com/quote/swx/IFCN/financials/" TargetMode="External" Id="rId175" /><Relationship Type="http://schemas.openxmlformats.org/officeDocument/2006/relationships/hyperlink" Target="https://www.jobs.ch/de/stellenangebote/?term=INFICON" TargetMode="External" Id="rId176" /><Relationship Type="http://schemas.openxmlformats.org/officeDocument/2006/relationships/hyperlink" Target="https://de.wikipedia.org/wiki/Baumer_Group" TargetMode="External" Id="rId177" /><Relationship Type="http://schemas.openxmlformats.org/officeDocument/2006/relationships/hyperlink" Target="https://www.jobs.ch/de/stellenangebote/?term=Baumer" TargetMode="External" Id="rId178" /><Relationship Type="http://schemas.openxmlformats.org/officeDocument/2006/relationships/hyperlink" Target="https://jobs.baumer.com/" TargetMode="External" Id="rId179" /><Relationship Type="http://schemas.openxmlformats.org/officeDocument/2006/relationships/hyperlink" Target="https://www.interroll.com/news-events/press-releases" TargetMode="External" Id="rId180" /><Relationship Type="http://schemas.openxmlformats.org/officeDocument/2006/relationships/hyperlink" Target="https://www.jobs.ch/de/stellenangebote/?term=Interroll" TargetMode="External" Id="rId181" /><Relationship Type="http://schemas.openxmlformats.org/officeDocument/2006/relationships/hyperlink" Target="https://www.interroll.com/company/careers/" TargetMode="External" Id="rId182" /><Relationship Type="http://schemas.openxmlformats.org/officeDocument/2006/relationships/hyperlink" Target="https://stockanalysis.com/quote/swx/MTG/financials/" TargetMode="External" Id="rId183" /><Relationship Type="http://schemas.openxmlformats.org/officeDocument/2006/relationships/hyperlink" Target="https://www.jobs.ch/de/stellenangebote/?term=Meier%20Tobler" TargetMode="External" Id="rId184" /><Relationship Type="http://schemas.openxmlformats.org/officeDocument/2006/relationships/hyperlink" Target="https://www.jobs.ch/en/companies/85876-meier-tobler-ag/vacancies/" TargetMode="External" Id="rId185" /><Relationship Type="http://schemas.openxmlformats.org/officeDocument/2006/relationships/hyperlink" Target="https://de.wikipedia.org/wiki/Kistler_Gruppe" TargetMode="External" Id="rId186" /><Relationship Type="http://schemas.openxmlformats.org/officeDocument/2006/relationships/hyperlink" Target="https://www.jobs.ch/de/stellenangebote/?term=Kistler" TargetMode="External" Id="rId187" /><Relationship Type="http://schemas.openxmlformats.org/officeDocument/2006/relationships/hyperlink" Target="https://www.kistler.com/CH/de/kistler-stellenangebote/jobs" TargetMode="External" Id="rId188" /><Relationship Type="http://schemas.openxmlformats.org/officeDocument/2006/relationships/hyperlink" Target="https://stockanalysis.com/quote/swx/COTN/financials/" TargetMode="External" Id="rId189" /><Relationship Type="http://schemas.openxmlformats.org/officeDocument/2006/relationships/hyperlink" Target="https://www.jobs.ch/de/stellenangebote/?term=Comet" TargetMode="External" Id="rId190" /><Relationship Type="http://schemas.openxmlformats.org/officeDocument/2006/relationships/hyperlink" Target="https://stockanalysis.com/quote/swx/MEDX/financials/" TargetMode="External" Id="rId191" /><Relationship Type="http://schemas.openxmlformats.org/officeDocument/2006/relationships/hyperlink" Target="https://www.jobs.ch/de/stellenangebote/?term=medmix" TargetMode="External" Id="rId192" /><Relationship Type="http://schemas.openxmlformats.org/officeDocument/2006/relationships/hyperlink" Target="https://stockanalysis.com/quote/swx/STGN/financials/" TargetMode="External" Id="rId193" /><Relationship Type="http://schemas.openxmlformats.org/officeDocument/2006/relationships/hyperlink" Target="https://www.jobs.ch/de/stellenangebote/?term=StarragTornos" TargetMode="External" Id="rId194" /><Relationship Type="http://schemas.openxmlformats.org/officeDocument/2006/relationships/hyperlink" Target="https://www.reishauer.com/" TargetMode="External" Id="rId195" /><Relationship Type="http://schemas.openxmlformats.org/officeDocument/2006/relationships/hyperlink" Target="https://www.jobs.ch/de/stellenangebote/?term=Reishauer" TargetMode="External" Id="rId196" /><Relationship Type="http://schemas.openxmlformats.org/officeDocument/2006/relationships/hyperlink" Target="https://jobs.reishauer.com/search/?locale=de_DE" TargetMode="External" Id="rId197" /><Relationship Type="http://schemas.openxmlformats.org/officeDocument/2006/relationships/hyperlink" Target="https://stockanalysis.com/quote/swx/RSGN/financials/" TargetMode="External" Id="rId198" /><Relationship Type="http://schemas.openxmlformats.org/officeDocument/2006/relationships/hyperlink" Target="https://www.jobs.ch/de/stellenangebote/?term=R%26S%20Group" TargetMode="External" Id="rId199" /><Relationship Type="http://schemas.openxmlformats.org/officeDocument/2006/relationships/hyperlink" Target="https://www.beyondgravity.com/en/annual-report-2025" TargetMode="External" Id="rId200" /><Relationship Type="http://schemas.openxmlformats.org/officeDocument/2006/relationships/hyperlink" Target="https://www.jobs.ch/de/stellenangebote/?term=Beyond%20Gravity" TargetMode="External" Id="rId201" /><Relationship Type="http://schemas.openxmlformats.org/officeDocument/2006/relationships/hyperlink" Target="https://www.bote.ch/nachrichten/schwyz/victorinox-leidet-unter-zoellen-und-starkem-franken-art-1686763" TargetMode="External" Id="rId202" /><Relationship Type="http://schemas.openxmlformats.org/officeDocument/2006/relationships/hyperlink" Target="https://www.jobs.ch/de/stellenangebote/?term=Victorinox" TargetMode="External" Id="rId203" /><Relationship Type="http://schemas.openxmlformats.org/officeDocument/2006/relationships/hyperlink" Target="https://www.find-your-future.ch/de/arbeiten-mem-branche/branche-unternehmen/firmenportraits/rheinmetall-air-defence/" TargetMode="External" Id="rId204" /><Relationship Type="http://schemas.openxmlformats.org/officeDocument/2006/relationships/hyperlink" Target="https://www.jobs.ch/de/stellenangebote/?term=Rheinmetall" TargetMode="External" Id="rId205" /><Relationship Type="http://schemas.openxmlformats.org/officeDocument/2006/relationships/hyperlink" Target="https://www.find-your-future.ch/de/arbeiten-mem-branche/branche-unternehmen/firmenportraits/gdels-mowag-gmbh/" TargetMode="External" Id="rId206" /><Relationship Type="http://schemas.openxmlformats.org/officeDocument/2006/relationships/hyperlink" Target="https://www.jobs.ch/de/stellenangebote/?term=Mowag" TargetMode="External" Id="rId207" /><Relationship Type="http://schemas.openxmlformats.org/officeDocument/2006/relationships/hyperlink" Target="https://stockanalysis.com/quote/swx/MIKN/financials/" TargetMode="External" Id="rId208" /><Relationship Type="http://schemas.openxmlformats.org/officeDocument/2006/relationships/hyperlink" Target="https://www.jobs.ch/de/stellenangebote/?term=Mikron" TargetMode="External" Id="rId209" /><Relationship Type="http://schemas.openxmlformats.org/officeDocument/2006/relationships/hyperlink" Target="https://de.wikipedia.org/wiki/Griesser_Holding" TargetMode="External" Id="rId210" /><Relationship Type="http://schemas.openxmlformats.org/officeDocument/2006/relationships/hyperlink" Target="https://www.jobs.ch/de/stellenangebote/?term=Griesser" TargetMode="External" Id="rId211" /><Relationship Type="http://schemas.openxmlformats.org/officeDocument/2006/relationships/hyperlink" Target="https://www.cflex.com/" TargetMode="External" Id="rId212" /><Relationship Type="http://schemas.openxmlformats.org/officeDocument/2006/relationships/hyperlink" Target="https://www.jobs.ch/de/stellenangebote/?term=Aluflexpack" TargetMode="External" Id="rId213" /><Relationship Type="http://schemas.openxmlformats.org/officeDocument/2006/relationships/hyperlink" Target="https://sonceboz.com/about-us/" TargetMode="External" Id="rId214" /><Relationship Type="http://schemas.openxmlformats.org/officeDocument/2006/relationships/hyperlink" Target="https://www.jobs.ch/de/stellenangebote/?term=Sonceboz" TargetMode="External" Id="rId215" /><Relationship Type="http://schemas.openxmlformats.org/officeDocument/2006/relationships/hyperlink" Target="https://stockanalysis.com/quote/swx/SENS/financials/" TargetMode="External" Id="rId216" /><Relationship Type="http://schemas.openxmlformats.org/officeDocument/2006/relationships/hyperlink" Target="https://www.jobs.ch/de/stellenangebote/?term=Sensirion" TargetMode="External" Id="rId217" /><Relationship Type="http://schemas.openxmlformats.org/officeDocument/2006/relationships/hyperlink" Target="https://sensirion.com/career" TargetMode="External" Id="rId218" /><Relationship Type="http://schemas.openxmlformats.org/officeDocument/2006/relationships/hyperlink" Target="https://linth24.ch/articles/64161-weidmann-mit-umsatzrueckgang-und-expansionsplan" TargetMode="External" Id="rId219" /><Relationship Type="http://schemas.openxmlformats.org/officeDocument/2006/relationships/hyperlink" Target="https://www.jobs.ch/de/stellenangebote/?term=Weidmann" TargetMode="External" Id="rId220" /><Relationship Type="http://schemas.openxmlformats.org/officeDocument/2006/relationships/hyperlink" Target="https://stockanalysis.com/quote/swx/SKAN/financials/" TargetMode="External" Id="rId221" /><Relationship Type="http://schemas.openxmlformats.org/officeDocument/2006/relationships/hyperlink" Target="https://www.jobs.ch/de/stellenangebote/?term=SKAN" TargetMode="External" Id="rId222" /><Relationship Type="http://schemas.openxmlformats.org/officeDocument/2006/relationships/hyperlink" Target="https://www.weltmarktfuehrerindex.de/profil/sefar" TargetMode="External" Id="rId223" /><Relationship Type="http://schemas.openxmlformats.org/officeDocument/2006/relationships/hyperlink" Target="https://www.jobs.ch/de/stellenangebote/?term=Sefar" TargetMode="External" Id="rId224" /><Relationship Type="http://schemas.openxmlformats.org/officeDocument/2006/relationships/hyperlink" Target="https://stockanalysis.com/quote/swx/GURN/financials/" TargetMode="External" Id="rId225" /><Relationship Type="http://schemas.openxmlformats.org/officeDocument/2006/relationships/hyperlink" Target="https://www.jobs.ch/de/stellenangebote/?term=Gurit" TargetMode="External" Id="rId226" /><Relationship Type="http://schemas.openxmlformats.org/officeDocument/2006/relationships/hyperlink" Target="https://de.wikipedia.org/wiki/Ferag" TargetMode="External" Id="rId227" /><Relationship Type="http://schemas.openxmlformats.org/officeDocument/2006/relationships/hyperlink" Target="https://www.jobs.ch/de/stellenangebote/?term=Ferag" TargetMode="External" Id="rId228" /><Relationship Type="http://schemas.openxmlformats.org/officeDocument/2006/relationships/hyperlink" Target="https://recruitingapp-2970.umantis.com/Jobs/1?CompanyID=1" TargetMode="External" Id="rId229" /><Relationship Type="http://schemas.openxmlformats.org/officeDocument/2006/relationships/hyperlink" Target="https://stockanalysis.com/quote/swx/ASCN/financials/" TargetMode="External" Id="rId230" /><Relationship Type="http://schemas.openxmlformats.org/officeDocument/2006/relationships/hyperlink" Target="https://www.jobs.ch/de/stellenangebote/?term=Ascom" TargetMode="External" Id="rId231" /><Relationship Type="http://schemas.openxmlformats.org/officeDocument/2006/relationships/hyperlink" Target="https://de.wikipedia.org/wiki/Schurter_Holding" TargetMode="External" Id="rId232" /><Relationship Type="http://schemas.openxmlformats.org/officeDocument/2006/relationships/hyperlink" Target="https://www.jobs.ch/de/stellenangebote/?term=Schurter" TargetMode="External" Id="rId233" /><Relationship Type="http://schemas.openxmlformats.org/officeDocument/2006/relationships/hyperlink" Target="https://stockanalysis.com/quote/swx/LEHN/financials/" TargetMode="External" Id="rId234" /><Relationship Type="http://schemas.openxmlformats.org/officeDocument/2006/relationships/hyperlink" Target="https://www.jobs.ch/de/stellenangebote/?term=LEM" TargetMode="External" Id="rId235" /><Relationship Type="http://schemas.openxmlformats.org/officeDocument/2006/relationships/hyperlink" Target="https://www.angst-pfister.com/about-us.html" TargetMode="External" Id="rId236" /><Relationship Type="http://schemas.openxmlformats.org/officeDocument/2006/relationships/hyperlink" Target="https://www.jobs.ch/de/stellenangebote/?term=Angst%20Pfister" TargetMode="External" Id="rId237" /><Relationship Type="http://schemas.openxmlformats.org/officeDocument/2006/relationships/hyperlink" Target="https://www.jobs.ch/de/firmen/4422-angst-pfister-ag/stellenangebote/" TargetMode="External" Id="rId238" /><Relationship Type="http://schemas.openxmlformats.org/officeDocument/2006/relationships/hyperlink" Target="https://stockanalysis.com/quote/swx/OFN/financials/" TargetMode="External" Id="rId239" /><Relationship Type="http://schemas.openxmlformats.org/officeDocument/2006/relationships/hyperlink" Target="https://www.jobs.ch/de/stellenangebote/?term=Orell%20F&#252;ssli" TargetMode="External" Id="rId240" /><Relationship Type="http://schemas.openxmlformats.org/officeDocument/2006/relationships/hyperlink" Target="https://de.wikipedia.org/wiki/G&#252;del" TargetMode="External" Id="rId241" /><Relationship Type="http://schemas.openxmlformats.org/officeDocument/2006/relationships/hyperlink" Target="https://www.jobs.ch/de/stellenangebote/?term=G&#252;del" TargetMode="External" Id="rId242" /><Relationship Type="http://schemas.openxmlformats.org/officeDocument/2006/relationships/hyperlink" Target="https://stockanalysis.com/quote/swx/MED/financials/" TargetMode="External" Id="rId243" /><Relationship Type="http://schemas.openxmlformats.org/officeDocument/2006/relationships/hyperlink" Target="https://www.jobs.ch/de/stellenangebote/?term=Medartis" TargetMode="External" Id="rId244" /><Relationship Type="http://schemas.openxmlformats.org/officeDocument/2006/relationships/hyperlink" Target="https://www.packaktuell.ch/unternehmen/utz-gruppe-bleibt-auf-wachstumskurs-wechsel-im-verwaltungsrat-187413" TargetMode="External" Id="rId245" /><Relationship Type="http://schemas.openxmlformats.org/officeDocument/2006/relationships/hyperlink" Target="https://www.jobs.ch/de/stellenangebote/?term=Georg%20Utz" TargetMode="External" Id="rId246" /><Relationship Type="http://schemas.openxmlformats.org/officeDocument/2006/relationships/hyperlink" Target="https://www.u-blox.com/en/investors" TargetMode="External" Id="rId247" /><Relationship Type="http://schemas.openxmlformats.org/officeDocument/2006/relationships/hyperlink" Target="https://www.jobs.ch/de/stellenangebote/?term=u-blox" TargetMode="External" Id="rId248" /><Relationship Type="http://schemas.openxmlformats.org/officeDocument/2006/relationships/hyperlink" Target="https://de.wikipedia.org/wiki/Bernina_N&#228;hmaschinenfabrik" TargetMode="External" Id="rId249" /><Relationship Type="http://schemas.openxmlformats.org/officeDocument/2006/relationships/hyperlink" Target="https://www.jobs.ch/de/stellenangebote/?term=Bernina" TargetMode="External" Id="rId250" /><Relationship Type="http://schemas.openxmlformats.org/officeDocument/2006/relationships/hyperlink" Target="https://stockanalysis.com/quote/swx/CLTN/financials/" TargetMode="External" Id="rId251" /><Relationship Type="http://schemas.openxmlformats.org/officeDocument/2006/relationships/hyperlink" Target="https://www.jobs.ch/de/stellenangebote/?term=COLTENE" TargetMode="External" Id="rId252" /><Relationship Type="http://schemas.openxmlformats.org/officeDocument/2006/relationships/hyperlink" Target="https://www.kunststoffweb.de/branchen-news/netstal_krones_erwirbt_schweizer_spritzgiessmaschinenbauer_t254537" TargetMode="External" Id="rId253" /><Relationship Type="http://schemas.openxmlformats.org/officeDocument/2006/relationships/hyperlink" Target="https://www.jobs.ch/de/stellenangebote/?term=Netstal" TargetMode="External" Id="rId254" /><Relationship Type="http://schemas.openxmlformats.org/officeDocument/2006/relationships/hyperlink" Target="https://en.wikipedia.org/wiki/Thermoplan_AG" TargetMode="External" Id="rId255" /><Relationship Type="http://schemas.openxmlformats.org/officeDocument/2006/relationships/hyperlink" Target="https://www.jobs.ch/de/stellenangebote/?term=Thermoplan" TargetMode="External" Id="rId256" /><Relationship Type="http://schemas.openxmlformats.org/officeDocument/2006/relationships/hyperlink" Target="https://www.zund.com/" TargetMode="External" Id="rId257" /><Relationship Type="http://schemas.openxmlformats.org/officeDocument/2006/relationships/hyperlink" Target="https://www.jobs.ch/de/stellenangebote/?term=Z&#252;nd" TargetMode="External" Id="rId258" /><Relationship Type="http://schemas.openxmlformats.org/officeDocument/2006/relationships/hyperlink" Target="https://www.mueller-frick.com/" TargetMode="External" Id="rId259" /><Relationship Type="http://schemas.openxmlformats.org/officeDocument/2006/relationships/hyperlink" Target="https://www.jobs.ch/de/stellenangebote/?term=Jakob%20M&#252;ller" TargetMode="External" Id="rId260" /><Relationship Type="http://schemas.openxmlformats.org/officeDocument/2006/relationships/hyperlink" Target="https://www.leister.com/en-de/About-Us/We-are-Leister" TargetMode="External" Id="rId261" /><Relationship Type="http://schemas.openxmlformats.org/officeDocument/2006/relationships/hyperlink" Target="https://www.jobs.ch/de/stellenangebote/?term=Leister" TargetMode="External" Id="rId262" /><Relationship Type="http://schemas.openxmlformats.org/officeDocument/2006/relationships/hyperlink" Target="https://www.eqs-news.com/news/ad-hoc/metall-zug-results-for-the-2025-financial-year/5fb65c5a-e0ed-4246-9781-35331a5c9158_en" TargetMode="External" Id="rId263" /><Relationship Type="http://schemas.openxmlformats.org/officeDocument/2006/relationships/hyperlink" Target="https://www.jobs.ch/de/stellenangebote/?term=Haag-Streit" TargetMode="External" Id="rId264" /><Relationship Type="http://schemas.openxmlformats.org/officeDocument/2006/relationships/hyperlink" Target="https://www.jobs.ch/en/companies/813-haag-streit-ag/" TargetMode="External" Id="rId265" /><Relationship Type="http://schemas.openxmlformats.org/officeDocument/2006/relationships/hyperlink" Target="https://stockanalysis.com/quote/swx/ELMN/financials/" TargetMode="External" Id="rId266" /><Relationship Type="http://schemas.openxmlformats.org/officeDocument/2006/relationships/hyperlink" Target="https://www.jobs.ch/de/stellenangebote/?term=Elma%20Electronic" TargetMode="External" Id="rId267" /><Relationship Type="http://schemas.openxmlformats.org/officeDocument/2006/relationships/hyperlink" Target="https://www.ferrum.net/en/about-us/group.php" TargetMode="External" Id="rId268" /><Relationship Type="http://schemas.openxmlformats.org/officeDocument/2006/relationships/hyperlink" Target="https://www.jobs.ch/de/stellenangebote/?term=Ferrum" TargetMode="External" Id="rId269" /><Relationship Type="http://schemas.openxmlformats.org/officeDocument/2006/relationships/hyperlink" Target="https://www.suhner.com/" TargetMode="External" Id="rId270" /><Relationship Type="http://schemas.openxmlformats.org/officeDocument/2006/relationships/hyperlink" Target="https://www.jobs.ch/de/stellenangebote/?term=Suhner" TargetMode="External" Id="rId271" /><Relationship Type="http://schemas.openxmlformats.org/officeDocument/2006/relationships/hyperlink" Target="https://www.uster.com/" TargetMode="External" Id="rId272" /><Relationship Type="http://schemas.openxmlformats.org/officeDocument/2006/relationships/hyperlink" Target="https://www.jobs.ch/de/stellenangebote/?term=Uster%20Technologies" TargetMode="External" Id="rId273" /><Relationship Type="http://schemas.openxmlformats.org/officeDocument/2006/relationships/hyperlink" Target="https://de.wikipedia.org/wiki/Feller_AG" TargetMode="External" Id="rId274" /><Relationship Type="http://schemas.openxmlformats.org/officeDocument/2006/relationships/hyperlink" Target="https://www.jobs.ch/de/stellenangebote/?term=Feller" TargetMode="External" Id="rId275" /><Relationship Type="http://schemas.openxmlformats.org/officeDocument/2006/relationships/hyperlink" Target="https://www.cmsa.ch/de/group" TargetMode="External" Id="rId276" /><Relationship Type="http://schemas.openxmlformats.org/officeDocument/2006/relationships/hyperlink" Target="https://www.jobs.ch/de/stellenangebote/?term=Cendres%20Metaux" TargetMode="External" Id="rId277" /><Relationship Type="http://schemas.openxmlformats.org/officeDocument/2006/relationships/hyperlink" Target="https://www.moneyhouse.ch/en/company/schaffner-holding-ag-20930778921" TargetMode="External" Id="rId278" /><Relationship Type="http://schemas.openxmlformats.org/officeDocument/2006/relationships/hyperlink" Target="https://www.jobs.ch/de/stellenangebote/?term=Schaffner" TargetMode="External" Id="rId279" /><Relationship Type="http://schemas.openxmlformats.org/officeDocument/2006/relationships/hyperlink" Target="https://de.wikipedia.org/wiki/Blaser_Swisslube" TargetMode="External" Id="rId280" /><Relationship Type="http://schemas.openxmlformats.org/officeDocument/2006/relationships/hyperlink" Target="https://www.jobs.ch/de/stellenangebote/?term=Blaser%20Swisslube" TargetMode="External" Id="rId281" /><Relationship Type="http://schemas.openxmlformats.org/officeDocument/2006/relationships/hyperlink" Target="https://de.wikipedia.org/wiki/Ernst_Schweizer_AG" TargetMode="External" Id="rId282" /><Relationship Type="http://schemas.openxmlformats.org/officeDocument/2006/relationships/hyperlink" Target="https://www.jobs.ch/de/stellenangebote/?term=Ernst%20Schweizer" TargetMode="External" Id="rId283" /><Relationship Type="http://schemas.openxmlformats.org/officeDocument/2006/relationships/hyperlink" Target="https://de.wikipedia.org/wiki/St&#246;cklin_Logistik" TargetMode="External" Id="rId284" /><Relationship Type="http://schemas.openxmlformats.org/officeDocument/2006/relationships/hyperlink" Target="https://www.jobs.ch/de/stellenangebote/?term=St&#246;cklin" TargetMode="External" Id="rId285" /><Relationship Type="http://schemas.openxmlformats.org/officeDocument/2006/relationships/hyperlink" Target="https://svc.swiss/fr/willemin-macodel-sa" TargetMode="External" Id="rId286" /><Relationship Type="http://schemas.openxmlformats.org/officeDocument/2006/relationships/hyperlink" Target="https://www.jobs.ch/de/stellenangebote/?term=Willemin" TargetMode="External" Id="rId287" /><Relationship Type="http://schemas.openxmlformats.org/officeDocument/2006/relationships/hyperlink" Target="https://www.fraisa.com/assets/media/blaetterprospekt/geschaeftsbericht-2026/en/" TargetMode="External" Id="rId288" /><Relationship Type="http://schemas.openxmlformats.org/officeDocument/2006/relationships/hyperlink" Target="https://www.jobs.ch/de/stellenangebote/?term=Fraisa" TargetMode="External" Id="rId289" /><Relationship Type="http://schemas.openxmlformats.org/officeDocument/2006/relationships/hyperlink" Target="https://www.bruderer.com/en/company/about-us" TargetMode="External" Id="rId290" /><Relationship Type="http://schemas.openxmlformats.org/officeDocument/2006/relationships/hyperlink" Target="https://www.jobs.ch/de/stellenangebote/?term=Bruderer" TargetMode="External" Id="rId291" /><Relationship Type="http://schemas.openxmlformats.org/officeDocument/2006/relationships/hyperlink" Target="https://svc.swiss/de/hunkeler-ag-paper-processing" TargetMode="External" Id="rId292" /><Relationship Type="http://schemas.openxmlformats.org/officeDocument/2006/relationships/hyperlink" Target="https://www.jobs.ch/de/stellenangebote/?term=Hunkeler" TargetMode="External" Id="rId293" /><Relationship Type="http://schemas.openxmlformats.org/officeDocument/2006/relationships/hyperlink" Target="https://www.mpsag.com/en/about-us" TargetMode="External" Id="rId294" /><Relationship Type="http://schemas.openxmlformats.org/officeDocument/2006/relationships/hyperlink" Target="https://www.jobs.ch/de/stellenangebote/?term=MPS%20Micro%20Precision" TargetMode="External" Id="rId295" /><Relationship Type="http://schemas.openxmlformats.org/officeDocument/2006/relationships/hyperlink" Target="https://www.trafag.com/us-en/about-us/" TargetMode="External" Id="rId296" /><Relationship Type="http://schemas.openxmlformats.org/officeDocument/2006/relationships/hyperlink" Target="https://www.jobs.ch/de/stellenangebote/?term=Trafag" TargetMode="External" Id="rId297" /><Relationship Type="http://schemas.openxmlformats.org/officeDocument/2006/relationships/hyperlink" Target="https://www.liebherr.com/de-ch/firmengruppe/standort/bulle-profil-3902923" TargetMode="External" Id="rId298" /><Relationship Type="http://schemas.openxmlformats.org/officeDocument/2006/relationships/hyperlink" Target="https://www.jobs.ch/de/stellenangebote/?term=Liebherr" TargetMode="External" Id="rId299" /><Relationship Type="http://schemas.openxmlformats.org/officeDocument/2006/relationships/hyperlink" Target="https://www.syntegon.com/en/locations/beringen/" TargetMode="External" Id="rId300" /><Relationship Type="http://schemas.openxmlformats.org/officeDocument/2006/relationships/hyperlink" Target="https://www.jobs.ch/de/stellenangebote/?term=Syntegon" TargetMode="External" Id="rId301" /><Relationship Type="http://schemas.openxmlformats.org/officeDocument/2006/relationships/hyperlink" Target="https://www.trumpf.com/de_CH/" TargetMode="External" Id="rId302" /><Relationship Type="http://schemas.openxmlformats.org/officeDocument/2006/relationships/hyperlink" Target="https://www.jobs.ch/de/stellenangebote/?term=TRUMPF" TargetMode="External" Id="rId303" /><Relationship Type="http://schemas.openxmlformats.org/officeDocument/2006/relationships/hyperlink" Target="https://www.thyssenkrupp-automotive-technology.com/de/unternehmen/organisationsstruktur/steering" TargetMode="External" Id="rId304" /><Relationship Type="http://schemas.openxmlformats.org/officeDocument/2006/relationships/hyperlink" Target="https://www.jobs.ch/de/stellenangebote/?term=thyssenkrupp%20Presta" TargetMode="External" Id="rId305" /><Relationship Type="http://schemas.openxmlformats.org/officeDocument/2006/relationships/hyperlink" Target="https://www.hoval.ch/de_CH/Unternehmen/unternehmen/" TargetMode="External" Id="rId306" /><Relationship Type="http://schemas.openxmlformats.org/officeDocument/2006/relationships/hyperlink" Target="https://www.jobs.ch/de/stellenangebote/?term=Hoval" TargetMode="External" Id="rId307" /><Relationship Type="http://schemas.openxmlformats.org/officeDocument/2006/relationships/hyperlink" Target="https://www.kaiser.li/company" TargetMode="External" Id="rId308" /><Relationship Type="http://schemas.openxmlformats.org/officeDocument/2006/relationships/hyperlink" Target="https://www.jobs.ch/de/stellenangebote/?term=KAISER" TargetMode="External" Id="rId309" /><Relationship Type="http://schemas.openxmlformats.org/officeDocument/2006/relationships/hyperlink" Target="https://www.neutrikgroup.com/en/about/company" TargetMode="External" Id="rId310" /><Relationship Type="http://schemas.openxmlformats.org/officeDocument/2006/relationships/hyperlink" Target="https://www.jobs.ch/de/stellenangebote/?term=Neutrik" TargetMode="External" Id="rId311" /><Relationship Type="http://schemas.openxmlformats.org/officeDocument/2006/relationships/hyperlink" Target="https://www.elkuch.com/" TargetMode="External" Id="rId312" /><Relationship Type="http://schemas.openxmlformats.org/officeDocument/2006/relationships/hyperlink" Target="https://www.jobs.ch/de/stellenangebote/?term=Elkuch%20Group" TargetMode="External" Id="rId313" /><Relationship Type="http://schemas.openxmlformats.org/officeDocument/2006/relationships/hyperlink" Target="https://jobs.pantec.com/wer-wir-sind" TargetMode="External" Id="rId314" /><Relationship Type="http://schemas.openxmlformats.org/officeDocument/2006/relationships/hyperlink" Target="https://www.jobs.ch/de/stellenangebote/?term=Pantec%20Group" TargetMode="External" Id="rId315" /><Relationship Type="http://schemas.openxmlformats.org/officeDocument/2006/relationships/hyperlink" Target="https://press.siemens.com/global/en/pressrelease/siemens-climate-neutral-campus-zug-highlights-investment-excellence-and-switzerland" TargetMode="External" Id="rId316" /><Relationship Type="http://schemas.openxmlformats.org/officeDocument/2006/relationships/hyperlink" Target="https://www.jobs.ch/de/stellenangebote/?term=Siemens%20Schweiz%20%28Smart%20Infrastructure%29" TargetMode="External" Id="rId317" /><Relationship Type="http://schemas.openxmlformats.org/officeDocument/2006/relationships/hyperlink" Target="https://www.jnj.com/CH/our-locations" TargetMode="External" Id="rId318" /><Relationship Type="http://schemas.openxmlformats.org/officeDocument/2006/relationships/hyperlink" Target="https://www.jobs.ch/de/stellenangebote/?term=J%26J%20MedTech%20%20%20DePuy%20Synthes" TargetMode="External" Id="rId319" /><Relationship Type="http://schemas.openxmlformats.org/officeDocument/2006/relationships/hyperlink" Target="https://www.srtechnics.com/" TargetMode="External" Id="rId320" /><Relationship Type="http://schemas.openxmlformats.org/officeDocument/2006/relationships/hyperlink" Target="https://www.jobs.ch/de/stellenangebote/?term=SR%20Technics" TargetMode="External" Id="rId321" /><Relationship Type="http://schemas.openxmlformats.org/officeDocument/2006/relationships/hyperlink" Target="https://leica-geosystems.com/" TargetMode="External" Id="rId322" /><Relationship Type="http://schemas.openxmlformats.org/officeDocument/2006/relationships/hyperlink" Target="https://www.jobs.ch/de/stellenangebote/?term=Leica%20Geosystems" TargetMode="External" Id="rId323" /><Relationship Type="http://schemas.openxmlformats.org/officeDocument/2006/relationships/hyperlink" Target="https://www.medtronic.com/ch-de/" TargetMode="External" Id="rId324" /><Relationship Type="http://schemas.openxmlformats.org/officeDocument/2006/relationships/hyperlink" Target="https://www.jobs.ch/de/stellenangebote/?term=Medtronic%20Europe" TargetMode="External" Id="rId325" /><Relationship Type="http://schemas.openxmlformats.org/officeDocument/2006/relationships/hyperlink" Target="https://www.zimmerbiomet.com/" TargetMode="External" Id="rId326" /><Relationship Type="http://schemas.openxmlformats.org/officeDocument/2006/relationships/hyperlink" Target="https://www.jobs.ch/de/stellenangebote/?term=Zimmer%20Switzerland%20Manufacturing" TargetMode="External" Id="rId327" /><Relationship Type="http://schemas.openxmlformats.org/officeDocument/2006/relationships/hyperlink" Target="https://www.stryker.com/ch/de/" TargetMode="External" Id="rId328" /><Relationship Type="http://schemas.openxmlformats.org/officeDocument/2006/relationships/hyperlink" Target="https://www.jobs.ch/de/stellenangebote/?term=Stryker" TargetMode="External" Id="rId329" /><Relationship Type="http://schemas.openxmlformats.org/officeDocument/2006/relationships/hyperlink" Target="https://www.biotronik.com/en-us/change-ownership-vascular-intervention-business" TargetMode="External" Id="rId330" /><Relationship Type="http://schemas.openxmlformats.org/officeDocument/2006/relationships/hyperlink" Target="https://www.jobs.ch/de/stellenangebote/?term=Biotronik%20Vascular%20%28Teleflex%29" TargetMode="External" Id="rId331" /><Relationship Type="http://schemas.openxmlformats.org/officeDocument/2006/relationships/hyperlink" Target="https://www.bruker.com/" TargetMode="External" Id="rId332" /><Relationship Type="http://schemas.openxmlformats.org/officeDocument/2006/relationships/hyperlink" Target="https://www.jobs.ch/de/stellenangebote/?term=Bruker%20Switzerland%20%28BioSpin%29" TargetMode="External" Id="rId333" /><Relationship Type="http://schemas.openxmlformats.org/officeDocument/2006/relationships/hyperlink" Target="https://www.jobs.ch/en/companies/32002-bruker-biospin-ag/" TargetMode="External" Id="rId334" /><Relationship Type="http://schemas.openxmlformats.org/officeDocument/2006/relationships/hyperlink" Target="https://www.jetaviation.com/company/about/" TargetMode="External" Id="rId335" /><Relationship Type="http://schemas.openxmlformats.org/officeDocument/2006/relationships/hyperlink" Target="https://www.jobs.ch/de/stellenangebote/?term=Jet%20Aviation" TargetMode="External" Id="rId336" /><Relationship Type="http://schemas.openxmlformats.org/officeDocument/2006/relationships/hyperlink" Target="https://www.everllence.com/company/production-locations/zurich" TargetMode="External" Id="rId337" /><Relationship Type="http://schemas.openxmlformats.org/officeDocument/2006/relationships/hyperlink" Target="https://www.jobs.ch/de/stellenangebote/?term=Everllence%20Schweiz%20%28ex%20MAN%20ES%29" TargetMode="External" Id="rId338" /><Relationship Type="http://schemas.openxmlformats.org/officeDocument/2006/relationships/hyperlink" Target="https://www.dentsplysirona.com/" TargetMode="External" Id="rId339" /><Relationship Type="http://schemas.openxmlformats.org/officeDocument/2006/relationships/hyperlink" Target="https://www.jobs.ch/de/stellenangebote/?term=Dentsply%20Sirona%20Switzerland" TargetMode="External" Id="rId340" /><Relationship Type="http://schemas.openxmlformats.org/officeDocument/2006/relationships/hyperlink" Target="https://www.alstom.com/de/alstom-schweiz" TargetMode="External" Id="rId341" /><Relationship Type="http://schemas.openxmlformats.org/officeDocument/2006/relationships/hyperlink" Target="https://www.jobs.ch/de/stellenangebote/?term=ALSTOM%20%28Schweiz%29" TargetMode="External" Id="rId342" /><Relationship Type="http://schemas.openxmlformats.org/officeDocument/2006/relationships/hyperlink" Target="https://jobsearch.alstom.com/search/" TargetMode="External" Id="rId343" /><Relationship Type="http://schemas.openxmlformats.org/officeDocument/2006/relationships/hyperlink" Target="https://www.kanadevia-inova.com/" TargetMode="External" Id="rId344" /><Relationship Type="http://schemas.openxmlformats.org/officeDocument/2006/relationships/hyperlink" Target="https://www.jobs.ch/de/stellenangebote/?term=Kanadevia%20Inova" TargetMode="External" Id="rId345" /><Relationship Type="http://schemas.openxmlformats.org/officeDocument/2006/relationships/hyperlink" Target="https://www.faulhaber.com/" TargetMode="External" Id="rId346" /><Relationship Type="http://schemas.openxmlformats.org/officeDocument/2006/relationships/hyperlink" Target="https://www.jobs.ch/de/stellenangebote/?term=FAULHABER%20SA" TargetMode="External" Id="rId347" /><Relationship Type="http://schemas.openxmlformats.org/officeDocument/2006/relationships/hyperlink" Target="https://www.safran-group.com/countries/switzerland" TargetMode="External" Id="rId348" /><Relationship Type="http://schemas.openxmlformats.org/officeDocument/2006/relationships/hyperlink" Target="https://www.jobs.ch/de/stellenangebote/?term=Safran%20Vectronix" TargetMode="External" Id="rId349" /><Relationship Type="http://schemas.openxmlformats.org/officeDocument/2006/relationships/hyperlink" Target="https://www.wingd.com/" TargetMode="External" Id="rId350" /><Relationship Type="http://schemas.openxmlformats.org/officeDocument/2006/relationships/hyperlink" Target="https://www.jobs.ch/de/stellenangebote/?term=Winterthur%20Gas%20%26%20Diesel%20%28WinGD%29" TargetMode="External" Id="rId351" /><Relationship Type="http://schemas.openxmlformats.org/officeDocument/2006/relationships/hyperlink" Target="https://saurer.com/en/about-us" TargetMode="External" Id="rId352" /><Relationship Type="http://schemas.openxmlformats.org/officeDocument/2006/relationships/hyperlink" Target="https://www.jobs.ch/de/stellenangebote/?term=Saurer" TargetMode="External" Id="rId353" /><Relationship Type="http://schemas.openxmlformats.org/officeDocument/2006/relationships/hyperlink" Target="https://www.bd.com/" TargetMode="External" Id="rId354" /><Relationship Type="http://schemas.openxmlformats.org/officeDocument/2006/relationships/hyperlink" Target="https://www.jobs.ch/de/stellenangebote/?term=Becton%20Dickinson%20%28BD%20Switzerland%29" TargetMode="External" Id="rId355" /><Relationship Type="http://schemas.openxmlformats.org/officeDocument/2006/relationships/hyperlink" Target="https://www.intuitive.com/" TargetMode="External" Id="rId356" /><Relationship Type="http://schemas.openxmlformats.org/officeDocument/2006/relationships/hyperlink" Target="https://www.jobs.ch/de/stellenangebote/?term=Intuitive%20Surgical" TargetMode="External" Id="rId357" /><Relationship Type="http://schemas.openxmlformats.org/officeDocument/2006/relationships/hyperlink" Target="https://www.beckmancoulter.com/" TargetMode="External" Id="rId358" /><Relationship Type="http://schemas.openxmlformats.org/officeDocument/2006/relationships/hyperlink" Target="https://www.jobs.ch/de/stellenangebote/?term=Beckman%20Coulter%20International" TargetMode="External" Id="rId359" /><Relationship Type="http://schemas.openxmlformats.org/officeDocument/2006/relationships/hyperlink" Target="https://www.bio-rad.com/" TargetMode="External" Id="rId360" /><Relationship Type="http://schemas.openxmlformats.org/officeDocument/2006/relationships/hyperlink" Target="https://www.jobs.ch/de/stellenangebote/?term=Bio-Rad%20Laboratories" TargetMode="External" Id="rId361" /><Relationship Type="http://schemas.openxmlformats.org/officeDocument/2006/relationships/hyperlink" Target="https://www.edwards.com/careers/locations/nyon" TargetMode="External" Id="rId362" /><Relationship Type="http://schemas.openxmlformats.org/officeDocument/2006/relationships/hyperlink" Target="https://www.jobs.ch/de/stellenangebote/?term=Edwards%20Lifesciences" TargetMode="External" Id="rId363" /><Relationship Type="http://schemas.openxmlformats.org/officeDocument/2006/relationships/hyperlink" Target="https://www.garrettmotion.com/" TargetMode="External" Id="rId364" /><Relationship Type="http://schemas.openxmlformats.org/officeDocument/2006/relationships/hyperlink" Target="https://www.jobs.ch/de/stellenangebote/?term=Garrett%20Motion" TargetMode="External" Id="rId365" /><Relationship Type="http://schemas.openxmlformats.org/officeDocument/2006/relationships/hyperlink" Target="https://www.archroma.com/about" TargetMode="External" Id="rId366" /><Relationship Type="http://schemas.openxmlformats.org/officeDocument/2006/relationships/hyperlink" Target="https://www.jobs.ch/de/stellenangebote/?term=Archroma" TargetMode="External" Id="rId367" /><Relationship Type="http://schemas.openxmlformats.org/officeDocument/2006/relationships/hyperlink" Target="https://www.zimmerbiomet.com/" TargetMode="External" Id="rId368" /><Relationship Type="http://schemas.openxmlformats.org/officeDocument/2006/relationships/hyperlink" Target="https://www.jobs.ch/de/stellenangebote/?term=Zimmer%20Biomet%20EMEA" TargetMode="External" Id="rId369" /><Relationship Type="http://schemas.openxmlformats.org/officeDocument/2006/relationships/hyperlink" Target="https://www.camlog.com/en/company" TargetMode="External" Id="rId370" /><Relationship Type="http://schemas.openxmlformats.org/officeDocument/2006/relationships/hyperlink" Target="https://www.jobs.ch/de/stellenangebote/?term=CAMLOG%20Biotechnologies" TargetMode="External" Id="rId371" /><Relationship Type="http://schemas.openxmlformats.org/officeDocument/2006/relationships/hyperlink" Target="https://www.hoerbiger.com/" TargetMode="External" Id="rId372" /><Relationship Type="http://schemas.openxmlformats.org/officeDocument/2006/relationships/hyperlink" Target="https://www.jobs.ch/de/stellenangebote/?term=HOERBIGER%20Holding" TargetMode="External" Id="rId373" /><Relationship Type="http://schemas.openxmlformats.org/officeDocument/2006/relationships/hyperlink" Target="https://www.parker.com/" TargetMode="External" Id="rId374" /><Relationship Type="http://schemas.openxmlformats.org/officeDocument/2006/relationships/hyperlink" Target="https://www.jobs.ch/de/stellenangebote/?term=Parker%20Hannifin%20EMEA" TargetMode="External" Id="rId375" /><Relationship Type="http://schemas.openxmlformats.org/officeDocument/2006/relationships/hyperlink" Target="https://www.schaffhausen-area.ch/maker-story/johnson-controls" TargetMode="External" Id="rId376" /><Relationship Type="http://schemas.openxmlformats.org/officeDocument/2006/relationships/hyperlink" Target="https://www.jobs.ch/de/stellenangebote/?term=Johnson%20Controls%20EMEALA" TargetMode="External" Id="rId377" /><Relationship Type="http://schemas.openxmlformats.org/officeDocument/2006/relationships/hyperlink" Target="https://www.resideo.com/us/en/corporate/newsroom/featured-articles/resideos-new-emea-headquarters-opens-in-rolle-switzerland/" TargetMode="External" Id="rId378" /><Relationship Type="http://schemas.openxmlformats.org/officeDocument/2006/relationships/hyperlink" Target="https://www.jobs.ch/de/stellenangebote/?term=Resideo%20Technologies%20EMEA" TargetMode="External" Id="rId379" /><Relationship Type="http://schemas.openxmlformats.org/officeDocument/2006/relationships/hyperlink" Target="https://www.caterpillar.com/en/company/global-footprint/switzerland.html" TargetMode="External" Id="rId380" /><Relationship Type="http://schemas.openxmlformats.org/officeDocument/2006/relationships/hyperlink" Target="https://www.jobs.ch/de/stellenangebote/?term=Caterpillar%20SARL" TargetMode="External" Id="rId381" /><Relationship Type="http://schemas.openxmlformats.org/officeDocument/2006/relationships/hyperlink" Target="https://www.honeywell.com/" TargetMode="External" Id="rId382" /><Relationship Type="http://schemas.openxmlformats.org/officeDocument/2006/relationships/hyperlink" Target="https://www.jobs.ch/de/stellenangebote/?term=Honeywell%20International%20S&#224;rl" TargetMode="External" Id="rId383" /><Relationship Type="http://schemas.openxmlformats.org/officeDocument/2006/relationships/hyperlink" Target="https://www.emerson.com/" TargetMode="External" Id="rId384" /><Relationship Type="http://schemas.openxmlformats.org/officeDocument/2006/relationships/hyperlink" Target="https://www.jobs.ch/de/stellenangebote/?term=Emerson%20Process%20Management%20Europe" TargetMode="External" Id="rId385" /><Relationship Type="http://schemas.openxmlformats.org/officeDocument/2006/relationships/hyperlink" Target="https://www.eaton.com/" TargetMode="External" Id="rId386" /><Relationship Type="http://schemas.openxmlformats.org/officeDocument/2006/relationships/hyperlink" Target="https://www.jobs.ch/de/stellenangebote/?term=Eaton%20EMEA" TargetMode="External" Id="rId387" /><Relationship Type="http://schemas.openxmlformats.org/officeDocument/2006/relationships/hyperlink" Target="https://ch.dow.com/en-us.html" TargetMode="External" Id="rId388" /><Relationship Type="http://schemas.openxmlformats.org/officeDocument/2006/relationships/hyperlink" Target="https://www.jobs.ch/de/stellenangebote/?term=Dow%20Europe" TargetMode="External" Id="rId389" /><Relationship Type="http://schemas.openxmlformats.org/officeDocument/2006/relationships/hyperlink" Target="https://www.tetralaval.com/" TargetMode="External" Id="rId390" /><Relationship Type="http://schemas.openxmlformats.org/officeDocument/2006/relationships/hyperlink" Target="https://www.jobs.ch/de/stellenangebote/?term=Tetra%20Laval%20International" TargetMode="External" Id="rId391" /><Relationship Type="http://schemas.openxmlformats.org/officeDocument/2006/relationships/hyperlink" Target="https://www.aptiv.com/en/jobs/working-here/global-locations/switzerland" TargetMode="External" Id="rId392" /><Relationship Type="http://schemas.openxmlformats.org/officeDocument/2006/relationships/hyperlink" Target="https://www.jobs.ch/de/stellenangebote/?term=Aptiv%20Technologies" TargetMode="External" Id="rId393" /><Relationship Type="http://schemas.openxmlformats.org/officeDocument/2006/relationships/hyperlink" Target="https://www.deepwater.com/" TargetMode="External" Id="rId394" /><Relationship Type="http://schemas.openxmlformats.org/officeDocument/2006/relationships/hyperlink" Target="https://www.jobs.ch/de/stellenangebote/?term=Transocean" TargetMode="External" Id="rId395" /><Relationship Type="http://schemas.openxmlformats.org/officeDocument/2006/relationships/hyperlink" Target="https://allseas.com/" TargetMode="External" Id="rId396" /><Relationship Type="http://schemas.openxmlformats.org/officeDocument/2006/relationships/hyperlink" Target="https://www.jobs.ch/de/stellenangebote/?term=Allseas%20Group" TargetMode="External" Id="rId397" /><Relationship Type="http://schemas.openxmlformats.org/officeDocument/2006/relationships/hyperlink" Target="https://www.nobelbiocare.com/en-int/contacts" TargetMode="External" Id="rId398" /><Relationship Type="http://schemas.openxmlformats.org/officeDocument/2006/relationships/hyperlink" Target="https://www.jobs.ch/de/stellenangebote/?term=Nobel%20Biocare%20Services" TargetMode="External" Id="rId399" /><Relationship Type="http://schemas.openxmlformats.org/officeDocument/2006/relationships/hyperlink" Target="https://www.jnj.com/CH/de/standorte" TargetMode="External" Id="rId400" /><Relationship Type="http://schemas.openxmlformats.org/officeDocument/2006/relationships/hyperlink" Target="https://www.jobs.ch/de/stellenangebote/?term=Medos%20International" TargetMode="External" Id="rId401" /><Relationship Type="http://schemas.openxmlformats.org/officeDocument/2006/relationships/hyperlink" Target="https://www.baxter.ch/" TargetMode="External" Id="rId402" /><Relationship Type="http://schemas.openxmlformats.org/officeDocument/2006/relationships/hyperlink" Target="https://www.jobs.ch/de/stellenangebote/?term=Baxter%20Healthcare" TargetMode="External" Id="rId403" /><Relationship Type="http://schemas.openxmlformats.org/officeDocument/2006/relationships/hyperlink" Target="https://www.lucerne-business.com/en/company/santrade-ltd-and-sandvik-ag-1676" TargetMode="External" Id="rId404" /><Relationship Type="http://schemas.openxmlformats.org/officeDocument/2006/relationships/hyperlink" Target="https://www.jobs.ch/de/stellenangebote/?term=Santrade%20%28Sandvik%29" TargetMode="External" Id="rId405" /><Relationship Type="http://schemas.openxmlformats.org/officeDocument/2006/relationships/hyperlink" Target="https://www.home.sandvik/en/careers/job-search/" TargetMode="External" Id="rId406" /><Relationship Type="http://schemas.openxmlformats.org/officeDocument/2006/relationships/hyperlink" Target="https://www.thermofisher.com/" TargetMode="External" Id="rId407" /><Relationship Type="http://schemas.openxmlformats.org/officeDocument/2006/relationships/hyperlink" Target="https://www.jobs.ch/de/stellenangebote/?term=Thermo%20Fisher%20Scientific%20Ecublens" TargetMode="External" Id="rId408" /><Relationship Type="http://schemas.openxmlformats.org/officeDocument/2006/relationships/hyperlink" Target="https://www.sigmaaldrich.com/" TargetMode="External" Id="rId409" /><Relationship Type="http://schemas.openxmlformats.org/officeDocument/2006/relationships/hyperlink" Target="https://www.jobs.ch/de/stellenangebote/?term=Sigma-Aldrich%20%28Merck%20Life%20Science%29" TargetMode="External" Id="rId410" /><Relationship Type="http://schemas.openxmlformats.org/officeDocument/2006/relationships/hyperlink" Target="https://www.estun.com/" TargetMode="External" Id="rId411" /><Relationship Type="http://schemas.openxmlformats.org/officeDocument/2006/relationships/hyperlink" Target="https://www.jobs.ch/de/stellenangebote/?term=Estun%20Robotics%20Europe" TargetMode="External" Id="rId412" /><Relationship Type="http://schemas.openxmlformats.org/officeDocument/2006/relationships/hyperlink" Target="https://www.vitol.com/vitol-2025-volumes-and-review/" TargetMode="External" Id="rId413" /><Relationship Type="http://schemas.openxmlformats.org/officeDocument/2006/relationships/hyperlink" Target="https://www.jobs.ch/de/stellenangebote/?term=Vitol" TargetMode="External" Id="rId414" /><Relationship Type="http://schemas.openxmlformats.org/officeDocument/2006/relationships/hyperlink" Target="https://www.glencore.com/media-and-insights/news/preliminary-results-2025" TargetMode="External" Id="rId415" /><Relationship Type="http://schemas.openxmlformats.org/officeDocument/2006/relationships/hyperlink" Target="https://www.jobs.ch/de/stellenangebote/?term=Glencore" TargetMode="External" Id="rId416" /><Relationship Type="http://schemas.openxmlformats.org/officeDocument/2006/relationships/hyperlink" Target="https://www.trafigura.com/news-and-insights/press-releases/2025/trafigura-publishes-2025-annual-results/" TargetMode="External" Id="rId417" /><Relationship Type="http://schemas.openxmlformats.org/officeDocument/2006/relationships/hyperlink" Target="https://www.jobs.ch/de/stellenangebote/?term=Trafigura" TargetMode="External" Id="rId418" /><Relationship Type="http://schemas.openxmlformats.org/officeDocument/2006/relationships/hyperlink" Target="https://gunvorgroup.com/financial/gunvor-group-results-2025/" TargetMode="External" Id="rId419" /><Relationship Type="http://schemas.openxmlformats.org/officeDocument/2006/relationships/hyperlink" Target="https://www.jobs.ch/de/stellenangebote/?term=Gunvor" TargetMode="External" Id="rId420" /><Relationship Type="http://schemas.openxmlformats.org/officeDocument/2006/relationships/hyperlink" Target="https://www.bunge.com/investors" TargetMode="External" Id="rId421" /><Relationship Type="http://schemas.openxmlformats.org/officeDocument/2006/relationships/hyperlink" Target="https://www.jobs.ch/de/stellenangebote/?term=Bunge%20Global" TargetMode="External" Id="rId422" /><Relationship Type="http://schemas.openxmlformats.org/officeDocument/2006/relationships/hyperlink" Target="https://www.ldc.com/press-releases/louis-dreyfus-company-reports-resilient-2025-results/" TargetMode="External" Id="rId423" /><Relationship Type="http://schemas.openxmlformats.org/officeDocument/2006/relationships/hyperlink" Target="https://www.jobs.ch/de/stellenangebote/?term=Louis%20Dreyfus%20Company" TargetMode="External" Id="rId424" /><Relationship Type="http://schemas.openxmlformats.org/officeDocument/2006/relationships/hyperlink" Target="https://met.com/en/media/press-releases/met-group-reports-strong-2025-performance-with-growth-across-core-businesses/" TargetMode="External" Id="rId425" /><Relationship Type="http://schemas.openxmlformats.org/officeDocument/2006/relationships/hyperlink" Target="https://www.jobs.ch/de/stellenangebote/?term=MET%20Group" TargetMode="External" Id="rId426" /><Relationship Type="http://schemas.openxmlformats.org/officeDocument/2006/relationships/hyperlink" Target="https://www.duferco.com/duferco-revenues-2025/" TargetMode="External" Id="rId427" /><Relationship Type="http://schemas.openxmlformats.org/officeDocument/2006/relationships/hyperlink" Target="https://www.jobs.ch/de/stellenangebote/?term=Duferco" TargetMode="External" Id="rId428" /><Relationship Type="http://schemas.openxmlformats.org/officeDocument/2006/relationships/hyperlink" Target="https://www.ameropa.com/news/news/news-ameropa-announces-double-digit-sales-growth-in-2025-as-well-as-strengthening-of-its-finances-and-operations" TargetMode="External" Id="rId429" /><Relationship Type="http://schemas.openxmlformats.org/officeDocument/2006/relationships/hyperlink" Target="https://www.jobs.ch/de/stellenangebote/?term=Ameropa" TargetMode="External" Id="rId430" /><Relationship Type="http://schemas.openxmlformats.org/officeDocument/2006/relationships/hyperlink" Target="https://www.kolmargroup.com/news/" TargetMode="External" Id="rId431" /><Relationship Type="http://schemas.openxmlformats.org/officeDocument/2006/relationships/hyperlink" Target="https://www.jobs.ch/de/stellenangebote/?term=Kolmar%20Group" TargetMode="External" Id="rId432" /><Relationship Type="http://schemas.openxmlformats.org/officeDocument/2006/relationships/hyperlink" Target="https://www.cargill.com/worldwide/switzerland-en" TargetMode="External" Id="rId433" /><Relationship Type="http://schemas.openxmlformats.org/officeDocument/2006/relationships/hyperlink" Target="https://www.jobs.ch/de/stellenangebote/?term=Cargill%20International" TargetMode="External" Id="rId434" /><Relationship Type="http://schemas.openxmlformats.org/officeDocument/2006/relationships/hyperlink" Target="https://mercuria.com/media-room/our-performance/" TargetMode="External" Id="rId435" /><Relationship Type="http://schemas.openxmlformats.org/officeDocument/2006/relationships/hyperlink" Target="https://www.jobs.ch/de/stellenangebote/?term=Mercuria" TargetMode="External" Id="rId436" /><Relationship Type="http://schemas.openxmlformats.org/officeDocument/2006/relationships/hyperlink" Target="https://www.ecomtrading.com/" TargetMode="External" Id="rId437" /><Relationship Type="http://schemas.openxmlformats.org/officeDocument/2006/relationships/hyperlink" Target="https://www.jobs.ch/de/stellenangebote/?term=ECOM%20Agroindustrial" TargetMode="External" Id="rId438" /><Relationship Type="http://schemas.openxmlformats.org/officeDocument/2006/relationships/hyperlink" Target="https://en.cmoc.com/html/Business/IXM/" TargetMode="External" Id="rId439" /><Relationship Type="http://schemas.openxmlformats.org/officeDocument/2006/relationships/hyperlink" Target="https://www.jobs.ch/de/stellenangebote/?term=IXM" TargetMode="External" Id="rId440" /><Relationship Type="http://schemas.openxmlformats.org/officeDocument/2006/relationships/hyperlink" Target="https://group.sucafina.com/" TargetMode="External" Id="rId441" /><Relationship Type="http://schemas.openxmlformats.org/officeDocument/2006/relationships/hyperlink" Target="https://www.jobs.ch/de/stellenangebote/?term=Sucafina" TargetMode="External" Id="rId442" /><Relationship Type="http://schemas.openxmlformats.org/officeDocument/2006/relationships/hyperlink" Target="https://alvean.com/our-business/" TargetMode="External" Id="rId443" /><Relationship Type="http://schemas.openxmlformats.org/officeDocument/2006/relationships/hyperlink" Target="https://www.jobs.ch/de/stellenangebote/?term=Alvean" TargetMode="External" Id="rId444"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filterMode="0">
    <outlinePr summaryBelow="1" summaryRight="1"/>
    <pageSetUpPr fitToPage="0"/>
  </sheetPr>
  <dimension ref="A1:Y204"/>
  <sheetViews>
    <sheetView showFormulas="0" showGridLines="1" showRowColHeaders="1" showZeros="1" rightToLeft="0" tabSelected="1" showOutlineSymbols="1" defaultGridColor="1"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baseColWidth="8" defaultColWidth="8.6796875" defaultRowHeight="15" zeroHeight="0" outlineLevelRow="0"/>
  <cols>
    <col width="5" customWidth="1" style="56" min="1" max="1"/>
    <col width="6" customWidth="1" style="56" min="2" max="2"/>
    <col width="30" customWidth="1" style="56" min="3" max="3"/>
    <col width="20" customWidth="1" style="56" min="4" max="4"/>
    <col width="7" customWidth="1" style="56" min="5" max="5"/>
    <col width="26" customWidth="1" style="56" min="6" max="6"/>
    <col width="56" customWidth="1" style="56" min="7" max="7"/>
    <col width="14" customWidth="1" style="56" min="8" max="8"/>
    <col width="7" customWidth="1" style="56" min="9" max="9"/>
    <col width="14" customWidth="1" style="56" min="10" max="11"/>
    <col width="9" customWidth="1" style="56" min="12" max="12"/>
    <col width="12" customWidth="1" style="56" min="13" max="13"/>
    <col width="28" customWidth="1" style="56" min="14" max="14"/>
    <col width="14" customWidth="1" style="56" min="15" max="15"/>
    <col width="16" customWidth="1" style="56" min="16" max="16"/>
    <col width="52" customWidth="1" style="56" min="17" max="17"/>
    <col width="12" customWidth="1" style="56" min="18" max="18"/>
    <col width="22" customWidth="1" style="56" min="19" max="19"/>
    <col width="14" customWidth="1" style="56" min="20" max="20"/>
    <col width="32" customWidth="1" style="56" min="21" max="21"/>
    <col width="44" customWidth="1" style="56" min="22" max="22"/>
    <col width="22" customWidth="1" style="56" min="23" max="23"/>
    <col width="15" customWidth="1" style="56" min="24" max="24"/>
    <col width="52" customWidth="1" style="56" min="25" max="25"/>
  </cols>
  <sheetData>
    <row r="1" ht="33.75" customHeight="1" s="57">
      <c r="A1" s="58" t="inlineStr">
        <is>
          <t>Nr</t>
        </is>
      </c>
      <c r="B1" s="58" t="inlineStr">
        <is>
          <t>Prio</t>
        </is>
      </c>
      <c r="C1" s="58" t="inlineStr">
        <is>
          <t>Unternehmen</t>
        </is>
      </c>
      <c r="D1" s="58" t="inlineStr">
        <is>
          <t>Ort</t>
        </is>
      </c>
      <c r="E1" s="58" t="inlineStr">
        <is>
          <t>Kanton</t>
        </is>
      </c>
      <c r="F1" s="58" t="inlineStr">
        <is>
          <t>Segment</t>
        </is>
      </c>
      <c r="G1" s="58" t="inlineStr">
        <is>
          <t>Was sie herstellen / was am Standort läuft</t>
        </is>
      </c>
      <c r="H1" s="58" t="inlineStr">
        <is>
          <t>Umsatz (Mio, Orig.)</t>
        </is>
      </c>
      <c r="I1" s="58" t="inlineStr">
        <is>
          <t>Whg.</t>
        </is>
      </c>
      <c r="J1" s="58" t="inlineStr">
        <is>
          <t>Umsatz CHF Mio</t>
        </is>
      </c>
      <c r="K1" s="58" t="inlineStr">
        <is>
          <t>Grössenklasse</t>
        </is>
      </c>
      <c r="L1" s="58" t="inlineStr">
        <is>
          <t>GJ</t>
        </is>
      </c>
      <c r="M1" s="58" t="inlineStr">
        <is>
          <t>Mitarbeiter</t>
        </is>
      </c>
      <c r="N1" s="58" t="inlineStr">
        <is>
          <t>Eigentümer / Kotierung</t>
        </is>
      </c>
      <c r="O1" s="58" t="inlineStr">
        <is>
          <t>Datenqualität</t>
        </is>
      </c>
      <c r="P1" s="58" t="inlineStr">
        <is>
          <t>Kategorie</t>
        </is>
      </c>
      <c r="Q1" s="58" t="inlineStr">
        <is>
          <t>Mandat / Hinweis</t>
        </is>
      </c>
      <c r="R1" s="58" t="inlineStr">
        <is>
          <t>Fit-Score (1-5)</t>
        </is>
      </c>
      <c r="S1" s="58" t="inlineStr">
        <is>
          <t>Kontakt im Netzwerk</t>
        </is>
      </c>
      <c r="T1" s="58" t="inlineStr">
        <is>
          <t>Status</t>
        </is>
      </c>
      <c r="U1" s="58" t="inlineStr">
        <is>
          <t>Notizen</t>
        </is>
      </c>
      <c r="V1" s="58" t="inlineStr">
        <is>
          <t>Quelle</t>
        </is>
      </c>
      <c r="W1" s="58" t="inlineStr">
        <is>
          <t>jobs.ch-Suchbegriff</t>
        </is>
      </c>
      <c r="X1" s="58" t="inlineStr">
        <is>
          <t>jobs.ch-Suche</t>
        </is>
      </c>
      <c r="Y1" s="58" t="inlineStr">
        <is>
          <t>Karriereseite (geprüft)</t>
        </is>
      </c>
    </row>
    <row r="2" ht="15" customHeight="1" s="57">
      <c r="A2" s="59" t="n">
        <v>1</v>
      </c>
      <c r="B2" s="60" t="inlineStr">
        <is>
          <t>1</t>
        </is>
      </c>
      <c r="C2" s="59" t="inlineStr">
        <is>
          <t>ABB</t>
        </is>
      </c>
      <c r="D2" s="59" t="inlineStr">
        <is>
          <t>Zürich</t>
        </is>
      </c>
      <c r="E2" s="59" t="inlineStr">
        <is>
          <t>ZH</t>
        </is>
      </c>
      <c r="F2" s="61" t="inlineStr">
        <is>
          <t>Elektrotechnik/Automation</t>
        </is>
      </c>
      <c r="G2" s="61" t="inlineStr">
        <is>
          <t>Elektrifizierung, Antriebe, Robotik, Prozessautomation</t>
        </is>
      </c>
      <c r="H2" s="62" t="n">
        <v>33220</v>
      </c>
      <c r="I2" s="59" t="inlineStr">
        <is>
          <t>USD</t>
        </is>
      </c>
      <c r="J2" s="62">
        <f>IF(H2="","",H2*IF(I2="CHF",1,IF(I2="EUR",'Legende &amp; Kriterien'!$C$13,'Legende &amp; Kriterien'!$C$14)))</f>
        <v/>
      </c>
      <c r="K2" s="59">
        <f>IF(P2="Rohstoffhandel","— Handel —",IF(J2="","k.A.",IF(J2&gt;=5000,"A: &gt;5 Mrd.",IF(J2&gt;=3000,"B: 3-5 Mrd.",IF(J2&gt;=1000,"C: 1-3 Mrd.","D: 0.1-1 Mrd.")))))</f>
        <v/>
      </c>
      <c r="L2" s="59" t="inlineStr">
        <is>
          <t>2025</t>
        </is>
      </c>
      <c r="M2" s="62" t="n">
        <v>111900</v>
      </c>
      <c r="N2" s="61" t="inlineStr">
        <is>
          <t>SIX + Nasdaq Stockholm: ABBN</t>
        </is>
      </c>
      <c r="O2" s="59" t="inlineStr">
        <is>
          <t>publiziert</t>
        </is>
      </c>
      <c r="P2" s="59" t="inlineStr">
        <is>
          <t>Grosskonzern</t>
        </is>
      </c>
      <c r="Q2" s="61" t="n"/>
      <c r="R2" s="63" t="n"/>
      <c r="S2" s="63" t="n"/>
      <c r="T2" s="63" t="n"/>
      <c r="U2" s="64" t="n"/>
      <c r="V2" s="65" t="inlineStr">
        <is>
          <t>https://www.abb.com/global/en/company/annual-reporting-suite/key-figures</t>
        </is>
      </c>
      <c r="W2" s="59" t="inlineStr">
        <is>
          <t>ABB</t>
        </is>
      </c>
      <c r="X2" s="66" t="inlineStr">
        <is>
          <t>Stellen suchen</t>
        </is>
      </c>
      <c r="Y2" s="67" t="inlineStr">
        <is>
          <t>https://www.jobs.ch/en/companies/55089-abb-schweiz-ag/</t>
        </is>
      </c>
    </row>
    <row r="3" ht="23.25" customHeight="1" s="57">
      <c r="A3" s="59" t="n">
        <v>2</v>
      </c>
      <c r="B3" s="60" t="inlineStr">
        <is>
          <t>1</t>
        </is>
      </c>
      <c r="C3" s="59" t="inlineStr">
        <is>
          <t>Amcor</t>
        </is>
      </c>
      <c r="D3" s="59" t="inlineStr">
        <is>
          <t>Zürich</t>
        </is>
      </c>
      <c r="E3" s="59" t="inlineStr">
        <is>
          <t>ZH</t>
        </is>
      </c>
      <c r="F3" s="61" t="inlineStr">
        <is>
          <t>Verpackung</t>
        </is>
      </c>
      <c r="G3" s="61" t="inlineStr">
        <is>
          <t>Flexible und starre Verpackungen, Verschlüsse, Spendersysteme</t>
        </is>
      </c>
      <c r="H3" s="62" t="n">
        <v>23506</v>
      </c>
      <c r="I3" s="59" t="inlineStr">
        <is>
          <t>USD</t>
        </is>
      </c>
      <c r="J3" s="62">
        <f>IF(H3="","",H3*IF(I3="CHF",1,IF(I3="EUR",'Legende &amp; Kriterien'!$C$13,'Legende &amp; Kriterien'!$C$14)))</f>
        <v/>
      </c>
      <c r="K3" s="59">
        <f>IF(P3="Rohstoffhandel","— Handel —",IF(J3="","k.A.",IF(J3&gt;=5000,"A: &gt;5 Mrd.",IF(J3&gt;=3000,"B: 3-5 Mrd.",IF(J3&gt;=1000,"C: 1-3 Mrd.","D: 0.1-1 Mrd.")))))</f>
        <v/>
      </c>
      <c r="L3" s="59" t="inlineStr">
        <is>
          <t>2025/26</t>
        </is>
      </c>
      <c r="M3" s="62" t="n">
        <v>75000</v>
      </c>
      <c r="N3" s="61" t="inlineStr">
        <is>
          <t>NYSE + ASX: AMCR</t>
        </is>
      </c>
      <c r="O3" s="59" t="inlineStr">
        <is>
          <t>publiziert</t>
        </is>
      </c>
      <c r="P3" s="59" t="inlineStr">
        <is>
          <t>Grosskonzern</t>
        </is>
      </c>
      <c r="Q3" s="61" t="inlineStr">
        <is>
          <t>Jersey-Recht; ab 2027 Verlagerung von Konzernfunktionen nach Miami</t>
        </is>
      </c>
      <c r="R3" s="63" t="n"/>
      <c r="S3" s="63" t="n"/>
      <c r="T3" s="63" t="n"/>
      <c r="U3" s="64" t="n"/>
      <c r="V3" s="65" t="inlineStr">
        <is>
          <t>https://www.amcor.com/investors</t>
        </is>
      </c>
      <c r="W3" s="59" t="inlineStr">
        <is>
          <t>Amcor</t>
        </is>
      </c>
      <c r="X3" s="66" t="inlineStr">
        <is>
          <t>Stellen suchen</t>
        </is>
      </c>
      <c r="Y3" s="68" t="inlineStr">
        <is>
          <t>https://amcor.wd5.myworkdayjobs.com/Amcor_External_Career_Site — nicht abrufbar ohne Rendern, Workday</t>
        </is>
      </c>
    </row>
    <row r="4" ht="23.25" customHeight="1" s="57">
      <c r="A4" s="59" t="n">
        <v>3</v>
      </c>
      <c r="B4" s="60" t="inlineStr">
        <is>
          <t>1</t>
        </is>
      </c>
      <c r="C4" s="59" t="inlineStr">
        <is>
          <t>Hitachi Energy</t>
        </is>
      </c>
      <c r="D4" s="59" t="inlineStr">
        <is>
          <t>Zürich</t>
        </is>
      </c>
      <c r="E4" s="59" t="inlineStr">
        <is>
          <t>ZH</t>
        </is>
      </c>
      <c r="F4" s="61" t="inlineStr">
        <is>
          <t>Energie-/Netztechnik</t>
        </is>
      </c>
      <c r="G4" s="61" t="inlineStr">
        <is>
          <t>Transformatoren, HGÜ, Hochspannungsprodukte, Netzautomation</t>
        </is>
      </c>
      <c r="H4" s="62" t="n">
        <v>20000</v>
      </c>
      <c r="I4" s="59" t="inlineStr">
        <is>
          <t>USD</t>
        </is>
      </c>
      <c r="J4" s="62">
        <f>IF(H4="","",H4*IF(I4="CHF",1,IF(I4="EUR",'Legende &amp; Kriterien'!$C$13,'Legende &amp; Kriterien'!$C$14)))</f>
        <v/>
      </c>
      <c r="K4" s="59">
        <f>IF(P4="Rohstoffhandel","— Handel —",IF(J4="","k.A.",IF(J4&gt;=5000,"A: &gt;5 Mrd.",IF(J4&gt;=3000,"B: 3-5 Mrd.",IF(J4&gt;=1000,"C: 1-3 Mrd.","D: 0.1-1 Mrd.")))))</f>
        <v/>
      </c>
      <c r="L4" s="59" t="inlineStr">
        <is>
          <t>2026</t>
        </is>
      </c>
      <c r="M4" s="62" t="n">
        <v>56000</v>
      </c>
      <c r="N4" s="61" t="inlineStr">
        <is>
          <t>Hitachi Ltd. (JP), nicht kotiert</t>
        </is>
      </c>
      <c r="O4" s="59" t="inlineStr">
        <is>
          <t>geschätzt</t>
        </is>
      </c>
      <c r="P4" s="59" t="inlineStr">
        <is>
          <t>Grosskonzern</t>
        </is>
      </c>
      <c r="Q4" s="61" t="inlineStr">
        <is>
          <t>Kein separat testierter Abschluss; Zahl ist Unternehmensangabe</t>
        </is>
      </c>
      <c r="R4" s="63" t="n"/>
      <c r="S4" s="63" t="n"/>
      <c r="T4" s="63" t="n"/>
      <c r="U4" s="64" t="n"/>
      <c r="V4" s="65" t="inlineStr">
        <is>
          <t>https://www.hitachienergy.com/company/company-profile</t>
        </is>
      </c>
      <c r="W4" s="59" t="inlineStr">
        <is>
          <t>Hitachi Energy</t>
        </is>
      </c>
      <c r="X4" s="66" t="inlineStr">
        <is>
          <t>Stellen suchen</t>
        </is>
      </c>
      <c r="Y4" s="67" t="inlineStr">
        <is>
          <t>https://careers.hitachi.com/search/hitachi-energy/jobs/in/country/switzerland</t>
        </is>
      </c>
    </row>
    <row r="5" ht="15" customHeight="1" s="57">
      <c r="A5" s="59" t="n">
        <v>4</v>
      </c>
      <c r="B5" s="60" t="inlineStr">
        <is>
          <t>1</t>
        </is>
      </c>
      <c r="C5" s="59" t="inlineStr">
        <is>
          <t>Holcim</t>
        </is>
      </c>
      <c r="D5" s="59" t="inlineStr">
        <is>
          <t>Zug</t>
        </is>
      </c>
      <c r="E5" s="59" t="inlineStr">
        <is>
          <t>ZG</t>
        </is>
      </c>
      <c r="F5" s="61" t="inlineStr">
        <is>
          <t>Baustoffe</t>
        </is>
      </c>
      <c r="G5" s="61" t="inlineStr">
        <is>
          <t>Zement, Beton, Zuschlagstoffe, Dach- und Dämmsysteme</t>
        </is>
      </c>
      <c r="H5" s="62" t="n">
        <v>15724</v>
      </c>
      <c r="I5" s="59" t="inlineStr">
        <is>
          <t>CHF</t>
        </is>
      </c>
      <c r="J5" s="62">
        <f>IF(H5="","",H5*IF(I5="CHF",1,IF(I5="EUR",'Legende &amp; Kriterien'!$C$13,'Legende &amp; Kriterien'!$C$14)))</f>
        <v/>
      </c>
      <c r="K5" s="59">
        <f>IF(P5="Rohstoffhandel","— Handel —",IF(J5="","k.A.",IF(J5&gt;=5000,"A: &gt;5 Mrd.",IF(J5&gt;=3000,"B: 3-5 Mrd.",IF(J5&gt;=1000,"C: 1-3 Mrd.","D: 0.1-1 Mrd.")))))</f>
        <v/>
      </c>
      <c r="L5" s="59" t="inlineStr">
        <is>
          <t>2025</t>
        </is>
      </c>
      <c r="M5" s="62" t="n">
        <v>45000</v>
      </c>
      <c r="N5" s="61" t="inlineStr">
        <is>
          <t>SIX: HOLN</t>
        </is>
      </c>
      <c r="O5" s="59" t="inlineStr">
        <is>
          <t>publiziert</t>
        </is>
      </c>
      <c r="P5" s="59" t="inlineStr">
        <is>
          <t>Grosskonzern</t>
        </is>
      </c>
      <c r="Q5" s="61" t="inlineStr">
        <is>
          <t>Nach Abspaltung von Amrize</t>
        </is>
      </c>
      <c r="R5" s="63" t="n"/>
      <c r="S5" s="63" t="n"/>
      <c r="T5" s="63" t="n"/>
      <c r="U5" s="64" t="n"/>
      <c r="V5" s="65" t="inlineStr">
        <is>
          <t>https://www.holcim.com/media/media-releases/full-year-2025-results</t>
        </is>
      </c>
      <c r="W5" s="59" t="inlineStr">
        <is>
          <t>Holcim</t>
        </is>
      </c>
      <c r="X5" s="66" t="inlineStr">
        <is>
          <t>Stellen suchen</t>
        </is>
      </c>
      <c r="Y5" s="67" t="inlineStr">
        <is>
          <t>https://careers.holcimgroup.com/search/</t>
        </is>
      </c>
    </row>
    <row r="6" ht="23.25" customHeight="1" s="57">
      <c r="A6" s="59" t="n">
        <v>5</v>
      </c>
      <c r="B6" s="60" t="inlineStr">
        <is>
          <t>1</t>
        </is>
      </c>
      <c r="C6" s="59" t="inlineStr">
        <is>
          <t>Liebherr-International</t>
        </is>
      </c>
      <c r="D6" s="59" t="inlineStr">
        <is>
          <t>Bulle</t>
        </is>
      </c>
      <c r="E6" s="59" t="inlineStr">
        <is>
          <t>FR</t>
        </is>
      </c>
      <c r="F6" s="61" t="inlineStr">
        <is>
          <t>Maschinen-/Anlagenbau</t>
        </is>
      </c>
      <c r="G6" s="61" t="inlineStr">
        <is>
          <t>Baumaschinen, Krane, Bergbaugeräte, Kühlgeräte, Luftfahrtkomponenten</t>
        </is>
      </c>
      <c r="H6" s="62" t="n">
        <v>14772</v>
      </c>
      <c r="I6" s="59" t="inlineStr">
        <is>
          <t>EUR</t>
        </is>
      </c>
      <c r="J6" s="62">
        <f>IF(H6="","",H6*IF(I6="CHF",1,IF(I6="EUR",'Legende &amp; Kriterien'!$C$13,'Legende &amp; Kriterien'!$C$14)))</f>
        <v/>
      </c>
      <c r="K6" s="59">
        <f>IF(P6="Rohstoffhandel","— Handel —",IF(J6="","k.A.",IF(J6&gt;=5000,"A: &gt;5 Mrd.",IF(J6&gt;=3000,"B: 3-5 Mrd.",IF(J6&gt;=1000,"C: 1-3 Mrd.","D: 0.1-1 Mrd.")))))</f>
        <v/>
      </c>
      <c r="L6" s="59" t="inlineStr">
        <is>
          <t>2025</t>
        </is>
      </c>
      <c r="M6" s="62" t="n">
        <v>55963</v>
      </c>
      <c r="N6" s="61" t="inlineStr">
        <is>
          <t>Familie Liebherr, nicht kotiert</t>
        </is>
      </c>
      <c r="O6" s="59" t="inlineStr">
        <is>
          <t>publiziert</t>
        </is>
      </c>
      <c r="P6" s="59" t="inlineStr">
        <is>
          <t>Grosskonzern</t>
        </is>
      </c>
      <c r="Q6" s="61" t="inlineStr">
        <is>
          <t>GB 2025 nennt Nussbaumen AG als Konzernadresse — HQ-Angabe uneinheitlich</t>
        </is>
      </c>
      <c r="R6" s="63" t="n"/>
      <c r="S6" s="63" t="n"/>
      <c r="T6" s="63" t="n"/>
      <c r="U6" s="64" t="n"/>
      <c r="V6" s="65" t="inlineStr">
        <is>
          <t>https://www.liebherr.com/en-us/n/liebherr-sees-stable-growth-in-the-2025-business-year-244544-3782185</t>
        </is>
      </c>
      <c r="W6" s="59" t="inlineStr">
        <is>
          <t>Liebherr</t>
        </is>
      </c>
      <c r="X6" s="66" t="inlineStr">
        <is>
          <t>Stellen suchen</t>
        </is>
      </c>
      <c r="Y6" s="67" t="inlineStr">
        <is>
          <t>https://www.liebherr.com/de/deu/karriere/offene-stellen/offene-stellen.html</t>
        </is>
      </c>
    </row>
    <row r="7" ht="15" customHeight="1" s="57">
      <c r="A7" s="59" t="n">
        <v>6</v>
      </c>
      <c r="B7" s="60" t="inlineStr">
        <is>
          <t>1</t>
        </is>
      </c>
      <c r="C7" s="59" t="inlineStr">
        <is>
          <t>Sika</t>
        </is>
      </c>
      <c r="D7" s="59" t="inlineStr">
        <is>
          <t>Baar</t>
        </is>
      </c>
      <c r="E7" s="59" t="inlineStr">
        <is>
          <t>ZG</t>
        </is>
      </c>
      <c r="F7" s="61" t="inlineStr">
        <is>
          <t>Bauchemie/Spezialchemie</t>
        </is>
      </c>
      <c r="G7" s="61" t="inlineStr">
        <is>
          <t>Bauchemie, Klebstoffe, Dichtstoffe, Mörtel, Abdichtungsbahnen</t>
        </is>
      </c>
      <c r="H7" s="62" t="n">
        <v>11201</v>
      </c>
      <c r="I7" s="59" t="inlineStr">
        <is>
          <t>CHF</t>
        </is>
      </c>
      <c r="J7" s="62">
        <f>IF(H7="","",H7*IF(I7="CHF",1,IF(I7="EUR",'Legende &amp; Kriterien'!$C$13,'Legende &amp; Kriterien'!$C$14)))</f>
        <v/>
      </c>
      <c r="K7" s="59">
        <f>IF(P7="Rohstoffhandel","— Handel —",IF(J7="","k.A.",IF(J7&gt;=5000,"A: &gt;5 Mrd.",IF(J7&gt;=3000,"B: 3-5 Mrd.",IF(J7&gt;=1000,"C: 1-3 Mrd.","D: 0.1-1 Mrd.")))))</f>
        <v/>
      </c>
      <c r="L7" s="59" t="inlineStr">
        <is>
          <t>2025</t>
        </is>
      </c>
      <c r="M7" s="62" t="n">
        <v>33707</v>
      </c>
      <c r="N7" s="61" t="inlineStr">
        <is>
          <t>SIX: SIKA</t>
        </is>
      </c>
      <c r="O7" s="59" t="inlineStr">
        <is>
          <t>publiziert</t>
        </is>
      </c>
      <c r="P7" s="59" t="inlineStr">
        <is>
          <t>Grosskonzern</t>
        </is>
      </c>
      <c r="Q7" s="61" t="n"/>
      <c r="R7" s="63" t="n"/>
      <c r="S7" s="63" t="n"/>
      <c r="T7" s="63" t="n"/>
      <c r="U7" s="64" t="n"/>
      <c r="V7" s="65" t="inlineStr">
        <is>
          <t>https://www.sika.com/en/media/media-releases/2026/sika-reports-full-year-2025-results.html</t>
        </is>
      </c>
      <c r="W7" s="59" t="inlineStr">
        <is>
          <t>Sika</t>
        </is>
      </c>
      <c r="X7" s="66" t="inlineStr">
        <is>
          <t>Stellen suchen</t>
        </is>
      </c>
      <c r="Y7" s="68" t="inlineStr">
        <is>
          <t>https://www.sika.com/en/career/jobs.html — nicht abrufbar ohne Rendern, JS-Widget</t>
        </is>
      </c>
    </row>
    <row r="8" ht="23.25" customHeight="1" s="57">
      <c r="A8" s="59" t="n">
        <v>7</v>
      </c>
      <c r="B8" s="60" t="inlineStr">
        <is>
          <t>1</t>
        </is>
      </c>
      <c r="C8" s="59" t="inlineStr">
        <is>
          <t>Schindler</t>
        </is>
      </c>
      <c r="D8" s="59" t="inlineStr">
        <is>
          <t>Ebikon</t>
        </is>
      </c>
      <c r="E8" s="59" t="inlineStr">
        <is>
          <t>LU</t>
        </is>
      </c>
      <c r="F8" s="61" t="inlineStr">
        <is>
          <t>Gebäudetechnik/Maschinenbau</t>
        </is>
      </c>
      <c r="G8" s="61" t="inlineStr">
        <is>
          <t>Aufzüge, Fahrtreppen, Fahrsteige, Modernisierung, Wartung</t>
        </is>
      </c>
      <c r="H8" s="62" t="n">
        <v>10947</v>
      </c>
      <c r="I8" s="59" t="inlineStr">
        <is>
          <t>CHF</t>
        </is>
      </c>
      <c r="J8" s="62">
        <f>IF(H8="","",H8*IF(I8="CHF",1,IF(I8="EUR",'Legende &amp; Kriterien'!$C$13,'Legende &amp; Kriterien'!$C$14)))</f>
        <v/>
      </c>
      <c r="K8" s="59">
        <f>IF(P8="Rohstoffhandel","— Handel —",IF(J8="","k.A.",IF(J8&gt;=5000,"A: &gt;5 Mrd.",IF(J8&gt;=3000,"B: 3-5 Mrd.",IF(J8&gt;=1000,"C: 1-3 Mrd.","D: 0.1-1 Mrd.")))))</f>
        <v/>
      </c>
      <c r="L8" s="59" t="inlineStr">
        <is>
          <t>2025</t>
        </is>
      </c>
      <c r="M8" s="62" t="n">
        <v>67000</v>
      </c>
      <c r="N8" s="61" t="inlineStr">
        <is>
          <t>SIX: SCHN/SCHP, Familien Schindler/Bonnard</t>
        </is>
      </c>
      <c r="O8" s="59" t="inlineStr">
        <is>
          <t>publiziert</t>
        </is>
      </c>
      <c r="P8" s="59" t="inlineStr">
        <is>
          <t>Grosskonzern</t>
        </is>
      </c>
      <c r="Q8" s="61" t="n"/>
      <c r="R8" s="63" t="n"/>
      <c r="S8" s="63" t="n"/>
      <c r="T8" s="63" t="n"/>
      <c r="U8" s="64" t="n"/>
      <c r="V8" s="65" t="inlineStr">
        <is>
          <t>https://group.schindler.com/en/media/press-releases/annual-results-2025.html</t>
        </is>
      </c>
      <c r="W8" s="59" t="inlineStr">
        <is>
          <t>Schindler</t>
        </is>
      </c>
      <c r="X8" s="66" t="inlineStr">
        <is>
          <t>Stellen suchen</t>
        </is>
      </c>
      <c r="Y8" s="67" t="inlineStr">
        <is>
          <t>https://job.schindler.com/search/</t>
        </is>
      </c>
    </row>
    <row r="9" ht="23.25" customHeight="1" s="57">
      <c r="A9" s="59" t="n">
        <v>8</v>
      </c>
      <c r="B9" s="60" t="inlineStr">
        <is>
          <t>1</t>
        </is>
      </c>
      <c r="C9" s="59" t="inlineStr">
        <is>
          <t>STMicroelectronics</t>
        </is>
      </c>
      <c r="D9" s="59" t="inlineStr">
        <is>
          <t>Plan-les-Ouates (Genf)</t>
        </is>
      </c>
      <c r="E9" s="59" t="inlineStr">
        <is>
          <t>GE</t>
        </is>
      </c>
      <c r="F9" s="61" t="inlineStr">
        <is>
          <t>Halbleiter</t>
        </is>
      </c>
      <c r="G9" s="61" t="inlineStr">
        <is>
          <t>Mikrocontroller, Leistungshalbleiter, Sensoren, Analog-Chips</t>
        </is>
      </c>
      <c r="H9" s="62" t="n">
        <v>11800</v>
      </c>
      <c r="I9" s="59" t="inlineStr">
        <is>
          <t>USD</t>
        </is>
      </c>
      <c r="J9" s="62">
        <f>IF(H9="","",H9*IF(I9="CHF",1,IF(I9="EUR",'Legende &amp; Kriterien'!$C$13,'Legende &amp; Kriterien'!$C$14)))</f>
        <v/>
      </c>
      <c r="K9" s="59">
        <f>IF(P9="Rohstoffhandel","— Handel —",IF(J9="","k.A.",IF(J9&gt;=5000,"A: &gt;5 Mrd.",IF(J9&gt;=3000,"B: 3-5 Mrd.",IF(J9&gt;=1000,"C: 1-3 Mrd.","D: 0.1-1 Mrd.")))))</f>
        <v/>
      </c>
      <c r="L9" s="59" t="inlineStr">
        <is>
          <t>2025</t>
        </is>
      </c>
      <c r="M9" s="62" t="n">
        <v>48000</v>
      </c>
      <c r="N9" s="61" t="inlineStr">
        <is>
          <t>NYSE / Euronext Paris / Borsa Italiana</t>
        </is>
      </c>
      <c r="O9" s="59" t="inlineStr">
        <is>
          <t>publiziert</t>
        </is>
      </c>
      <c r="P9" s="59" t="inlineStr">
        <is>
          <t>Grenzfall</t>
        </is>
      </c>
      <c r="Q9" s="61" t="inlineStr">
        <is>
          <t>Operativer HQ Genf, statutarischer Sitz Amsterdam (NL)</t>
        </is>
      </c>
      <c r="R9" s="63" t="n"/>
      <c r="S9" s="63" t="n"/>
      <c r="T9" s="63" t="n"/>
      <c r="U9" s="64" t="n"/>
      <c r="V9" s="65" t="inlineStr">
        <is>
          <t>https://www.globenewswire.com/news-release/2026/01/29/3228178/0/en/STMicroelectronics-Reports-Q4-and-FY-2025-Financial-Results.html</t>
        </is>
      </c>
      <c r="W9" s="59" t="inlineStr">
        <is>
          <t>STMicroelectronics</t>
        </is>
      </c>
      <c r="X9" s="66" t="inlineStr">
        <is>
          <t>Stellen suchen</t>
        </is>
      </c>
      <c r="Y9" s="68" t="inlineStr">
        <is>
          <t>https://stmicroelectronics.eightfold.ai/careers — nicht abrufbar ohne Rendern, Eightfold-SPA</t>
        </is>
      </c>
    </row>
    <row r="10" ht="15" customHeight="1" s="57">
      <c r="A10" s="59" t="n">
        <v>9</v>
      </c>
      <c r="B10" s="60" t="inlineStr">
        <is>
          <t>1</t>
        </is>
      </c>
      <c r="C10" s="59" t="inlineStr">
        <is>
          <t>Alcon</t>
        </is>
      </c>
      <c r="D10" s="59" t="inlineStr">
        <is>
          <t>Genf</t>
        </is>
      </c>
      <c r="E10" s="59" t="inlineStr">
        <is>
          <t>GE</t>
        </is>
      </c>
      <c r="F10" s="61" t="inlineStr">
        <is>
          <t>Medtech/Ophthalmologie</t>
        </is>
      </c>
      <c r="G10" s="61" t="inlineStr">
        <is>
          <t>Intraokularlinsen, Kontaktlinsen, Augenchirurgie-Systeme</t>
        </is>
      </c>
      <c r="H10" s="62" t="n">
        <v>10319</v>
      </c>
      <c r="I10" s="59" t="inlineStr">
        <is>
          <t>USD</t>
        </is>
      </c>
      <c r="J10" s="62">
        <f>IF(H10="","",H10*IF(I10="CHF",1,IF(I10="EUR",'Legende &amp; Kriterien'!$C$13,'Legende &amp; Kriterien'!$C$14)))</f>
        <v/>
      </c>
      <c r="K10" s="59">
        <f>IF(P10="Rohstoffhandel","— Handel —",IF(J10="","k.A.",IF(J10&gt;=5000,"A: &gt;5 Mrd.",IF(J10&gt;=3000,"B: 3-5 Mrd.",IF(J10&gt;=1000,"C: 1-3 Mrd.","D: 0.1-1 Mrd.")))))</f>
        <v/>
      </c>
      <c r="L10" s="59" t="inlineStr">
        <is>
          <t>2025</t>
        </is>
      </c>
      <c r="M10" s="62" t="n">
        <v>25000</v>
      </c>
      <c r="N10" s="61" t="inlineStr">
        <is>
          <t>SIX + NYSE: ALC</t>
        </is>
      </c>
      <c r="O10" s="59" t="inlineStr">
        <is>
          <t>publiziert</t>
        </is>
      </c>
      <c r="P10" s="59" t="inlineStr">
        <is>
          <t>Grosskonzern</t>
        </is>
      </c>
      <c r="Q10" s="61" t="inlineStr">
        <is>
          <t>Statutarischer Sitz im Kanton Freiburg</t>
        </is>
      </c>
      <c r="R10" s="63" t="n"/>
      <c r="S10" s="63" t="n"/>
      <c r="T10" s="63" t="n"/>
      <c r="U10" s="64" t="n"/>
      <c r="V10" s="65" t="inlineStr">
        <is>
          <t>https://www.alcon.com/investor-relations</t>
        </is>
      </c>
      <c r="W10" s="59" t="inlineStr">
        <is>
          <t>Alcon</t>
        </is>
      </c>
      <c r="X10" s="66" t="inlineStr">
        <is>
          <t>Stellen suchen</t>
        </is>
      </c>
      <c r="Y10" s="68" t="inlineStr">
        <is>
          <t>https://alcon.wd5.myworkdayjobs.com/careers_alcon — nicht abrufbar ohne Rendern, Workday</t>
        </is>
      </c>
    </row>
    <row r="11" ht="15" customHeight="1" s="57">
      <c r="A11" s="59" t="n">
        <v>10</v>
      </c>
      <c r="B11" s="60" t="inlineStr">
        <is>
          <t>1</t>
        </is>
      </c>
      <c r="C11" s="59" t="inlineStr">
        <is>
          <t>SGS</t>
        </is>
      </c>
      <c r="D11" s="59" t="inlineStr">
        <is>
          <t>Baar</t>
        </is>
      </c>
      <c r="E11" s="59" t="inlineStr">
        <is>
          <t>ZG</t>
        </is>
      </c>
      <c r="F11" s="61" t="inlineStr">
        <is>
          <t>Prüf-/Zertifizierungsdienste</t>
        </is>
      </c>
      <c r="G11" s="61" t="inlineStr">
        <is>
          <t>Kein Hersteller: Prüfung, Inspektion, Verifizierung, Zertifizierung</t>
        </is>
      </c>
      <c r="H11" s="62" t="n">
        <v>6945</v>
      </c>
      <c r="I11" s="59" t="inlineStr">
        <is>
          <t>CHF</t>
        </is>
      </c>
      <c r="J11" s="62">
        <f>IF(H11="","",H11*IF(I11="CHF",1,IF(I11="EUR",'Legende &amp; Kriterien'!$C$13,'Legende &amp; Kriterien'!$C$14)))</f>
        <v/>
      </c>
      <c r="K11" s="59">
        <f>IF(P11="Rohstoffhandel","— Handel —",IF(J11="","k.A.",IF(J11&gt;=5000,"A: &gt;5 Mrd.",IF(J11&gt;=3000,"B: 3-5 Mrd.",IF(J11&gt;=1000,"C: 1-3 Mrd.","D: 0.1-1 Mrd.")))))</f>
        <v/>
      </c>
      <c r="L11" s="59" t="inlineStr">
        <is>
          <t>2025</t>
        </is>
      </c>
      <c r="M11" s="62" t="n">
        <v>100000</v>
      </c>
      <c r="N11" s="61" t="inlineStr">
        <is>
          <t>SIX: SGSN</t>
        </is>
      </c>
      <c r="O11" s="59" t="inlineStr">
        <is>
          <t>publiziert</t>
        </is>
      </c>
      <c r="P11" s="59" t="inlineStr">
        <is>
          <t>Grenzfall</t>
        </is>
      </c>
      <c r="Q11" s="61" t="inlineStr">
        <is>
          <t>Dienstleister, kein Engineered Product — nur zur Vollständigkeit</t>
        </is>
      </c>
      <c r="R11" s="63" t="n"/>
      <c r="S11" s="63" t="n"/>
      <c r="T11" s="63" t="n"/>
      <c r="U11" s="64" t="n"/>
      <c r="V11" s="65" t="inlineStr">
        <is>
          <t>https://www.sgs.com/en/news/2026/02/2025-full-year-results</t>
        </is>
      </c>
      <c r="W11" s="59" t="inlineStr">
        <is>
          <t>SGS</t>
        </is>
      </c>
      <c r="X11" s="66" t="inlineStr">
        <is>
          <t>Stellen suchen</t>
        </is>
      </c>
      <c r="Y11" s="67" t="inlineStr">
        <is>
          <t>https://careers.smartrecruiters.com/SGS</t>
        </is>
      </c>
    </row>
    <row r="12" ht="23.25" customHeight="1" s="57">
      <c r="A12" s="59" t="n">
        <v>11</v>
      </c>
      <c r="B12" s="60" t="inlineStr">
        <is>
          <t>1</t>
        </is>
      </c>
      <c r="C12" s="59" t="inlineStr">
        <is>
          <t>Hilti</t>
        </is>
      </c>
      <c r="D12" s="59" t="inlineStr">
        <is>
          <t>Schaan</t>
        </is>
      </c>
      <c r="E12" s="59" t="inlineStr">
        <is>
          <t>FL</t>
        </is>
      </c>
      <c r="F12" s="61" t="inlineStr">
        <is>
          <t>Bau-/Werkzeugtechnik</t>
        </is>
      </c>
      <c r="G12" s="61" t="inlineStr">
        <is>
          <t>Bohr-, Befestigungs- und Messtechnik für die Bauindustrie</t>
        </is>
      </c>
      <c r="H12" s="62" t="n">
        <v>6297</v>
      </c>
      <c r="I12" s="59" t="inlineStr">
        <is>
          <t>CHF</t>
        </is>
      </c>
      <c r="J12" s="62">
        <f>IF(H12="","",H12*IF(I12="CHF",1,IF(I12="EUR",'Legende &amp; Kriterien'!$C$13,'Legende &amp; Kriterien'!$C$14)))</f>
        <v/>
      </c>
      <c r="K12" s="59">
        <f>IF(P12="Rohstoffhandel","— Handel —",IF(J12="","k.A.",IF(J12&gt;=5000,"A: &gt;5 Mrd.",IF(J12&gt;=3000,"B: 3-5 Mrd.",IF(J12&gt;=1000,"C: 1-3 Mrd.","D: 0.1-1 Mrd.")))))</f>
        <v/>
      </c>
      <c r="L12" s="59" t="inlineStr">
        <is>
          <t>2025</t>
        </is>
      </c>
      <c r="M12" s="62" t="n">
        <v>34420</v>
      </c>
      <c r="N12" s="61" t="inlineStr">
        <is>
          <t>Martin Hilti Familientreuhänderschaft</t>
        </is>
      </c>
      <c r="O12" s="59" t="inlineStr">
        <is>
          <t>publiziert</t>
        </is>
      </c>
      <c r="P12" s="59" t="inlineStr">
        <is>
          <t>Liechtenstein</t>
        </is>
      </c>
      <c r="Q12" s="61" t="n"/>
      <c r="R12" s="63" t="n"/>
      <c r="S12" s="63" t="n"/>
      <c r="T12" s="63" t="n"/>
      <c r="U12" s="64" t="n"/>
      <c r="V12" s="65" t="inlineStr">
        <is>
          <t>https://www.hilti.group/content/hilti/CP/XX/en/company/media-relations/media-releases/2025-business-result.html</t>
        </is>
      </c>
      <c r="W12" s="59" t="inlineStr">
        <is>
          <t>Hilti</t>
        </is>
      </c>
      <c r="X12" s="66" t="inlineStr">
        <is>
          <t>Stellen suchen</t>
        </is>
      </c>
      <c r="Y12" s="67" t="inlineStr">
        <is>
          <t>https://careers.hilti.group/en-us/jobs/</t>
        </is>
      </c>
    </row>
    <row r="13" ht="23.25" customHeight="1" s="57">
      <c r="A13" s="59" t="n">
        <v>12</v>
      </c>
      <c r="B13" s="60" t="inlineStr">
        <is>
          <t>1</t>
        </is>
      </c>
      <c r="C13" s="59" t="inlineStr">
        <is>
          <t>Swatch Group</t>
        </is>
      </c>
      <c r="D13" s="59" t="inlineStr">
        <is>
          <t>Biel/Bienne</t>
        </is>
      </c>
      <c r="E13" s="59" t="inlineStr">
        <is>
          <t>BE</t>
        </is>
      </c>
      <c r="F13" s="61" t="inlineStr">
        <is>
          <t>Uhren/Mikrotechnik</t>
        </is>
      </c>
      <c r="G13" s="61" t="inlineStr">
        <is>
          <t>Uhren, Uhrwerke, Schmuck, elektronische Komponenten, Mikromechanik</t>
        </is>
      </c>
      <c r="H13" s="62" t="n">
        <v>6280</v>
      </c>
      <c r="I13" s="59" t="inlineStr">
        <is>
          <t>CHF</t>
        </is>
      </c>
      <c r="J13" s="62">
        <f>IF(H13="","",H13*IF(I13="CHF",1,IF(I13="EUR",'Legende &amp; Kriterien'!$C$13,'Legende &amp; Kriterien'!$C$14)))</f>
        <v/>
      </c>
      <c r="K13" s="59">
        <f>IF(P13="Rohstoffhandel","— Handel —",IF(J13="","k.A.",IF(J13&gt;=5000,"A: &gt;5 Mrd.",IF(J13&gt;=3000,"B: 3-5 Mrd.",IF(J13&gt;=1000,"C: 1-3 Mrd.","D: 0.1-1 Mrd.")))))</f>
        <v/>
      </c>
      <c r="L13" s="59" t="inlineStr">
        <is>
          <t>2025</t>
        </is>
      </c>
      <c r="M13" s="62" t="n">
        <v>31800</v>
      </c>
      <c r="N13" s="61" t="inlineStr">
        <is>
          <t>SIX: UHR/UHRN, Familie Hayek</t>
        </is>
      </c>
      <c r="O13" s="59" t="inlineStr">
        <is>
          <t>publiziert</t>
        </is>
      </c>
      <c r="P13" s="59" t="inlineStr">
        <is>
          <t>Grosskonzern</t>
        </is>
      </c>
      <c r="Q13" s="61" t="n"/>
      <c r="R13" s="63" t="n"/>
      <c r="S13" s="63" t="n"/>
      <c r="T13" s="63" t="n"/>
      <c r="U13" s="64" t="n"/>
      <c r="V13" s="65" t="inlineStr">
        <is>
          <t>https://www.swatchgroup.com/en/services/archive/2026/key-figures-2025</t>
        </is>
      </c>
      <c r="W13" s="59" t="inlineStr">
        <is>
          <t>Swatch</t>
        </is>
      </c>
      <c r="X13" s="66" t="inlineStr">
        <is>
          <t>Stellen suchen</t>
        </is>
      </c>
      <c r="Y13" s="67" t="inlineStr">
        <is>
          <t>https://www.swatchgroup.com/en/job-finder</t>
        </is>
      </c>
    </row>
    <row r="14" ht="23.25" customHeight="1" s="57">
      <c r="A14" s="59" t="n">
        <v>13</v>
      </c>
      <c r="B14" s="60" t="inlineStr">
        <is>
          <t>1</t>
        </is>
      </c>
      <c r="C14" s="59" t="inlineStr">
        <is>
          <t>Garmin</t>
        </is>
      </c>
      <c r="D14" s="59" t="inlineStr">
        <is>
          <t>Schaffhausen</t>
        </is>
      </c>
      <c r="E14" s="59" t="inlineStr">
        <is>
          <t>SH</t>
        </is>
      </c>
      <c r="F14" s="61" t="inlineStr">
        <is>
          <t>Elektronik/Navigation</t>
        </is>
      </c>
      <c r="G14" s="61" t="inlineStr">
        <is>
          <t>GPS-Navigation, Smartwatches, Avionik, Marine- und Outdoor-Geräte</t>
        </is>
      </c>
      <c r="H14" s="62" t="n">
        <v>7250</v>
      </c>
      <c r="I14" s="59" t="inlineStr">
        <is>
          <t>USD</t>
        </is>
      </c>
      <c r="J14" s="62">
        <f>IF(H14="","",H14*IF(I14="CHF",1,IF(I14="EUR",'Legende &amp; Kriterien'!$C$13,'Legende &amp; Kriterien'!$C$14)))</f>
        <v/>
      </c>
      <c r="K14" s="59">
        <f>IF(P14="Rohstoffhandel","— Handel —",IF(J14="","k.A.",IF(J14&gt;=5000,"A: &gt;5 Mrd.",IF(J14&gt;=3000,"B: 3-5 Mrd.",IF(J14&gt;=1000,"C: 1-3 Mrd.","D: 0.1-1 Mrd.")))))</f>
        <v/>
      </c>
      <c r="L14" s="59" t="inlineStr">
        <is>
          <t>2025</t>
        </is>
      </c>
      <c r="M14" s="62" t="n">
        <v>23000</v>
      </c>
      <c r="N14" s="61" t="inlineStr">
        <is>
          <t>NYSE: GRMN</t>
        </is>
      </c>
      <c r="O14" s="59" t="inlineStr">
        <is>
          <t>publiziert</t>
        </is>
      </c>
      <c r="P14" s="59" t="inlineStr">
        <is>
          <t>Grenzfall</t>
        </is>
      </c>
      <c r="Q14" s="61" t="inlineStr">
        <is>
          <t>Statutarischer Sitz Schaffhausen, operativer HQ Olathe (Kansas, USA)</t>
        </is>
      </c>
      <c r="R14" s="63" t="n"/>
      <c r="S14" s="63" t="n"/>
      <c r="T14" s="63" t="n"/>
      <c r="U14" s="64" t="n"/>
      <c r="V14" s="65" t="inlineStr">
        <is>
          <t>https://www8.garmin.com/aboutGarmin/invRelations/reports/2025_Form_10-K.pdf</t>
        </is>
      </c>
      <c r="W14" s="59" t="inlineStr">
        <is>
          <t>Garmin</t>
        </is>
      </c>
      <c r="X14" s="66" t="inlineStr">
        <is>
          <t>Stellen suchen</t>
        </is>
      </c>
      <c r="Y14" s="68" t="inlineStr">
        <is>
          <t>https://careers.garmin.com/jobs — nicht abrufbar ohne Rendern, JS</t>
        </is>
      </c>
    </row>
    <row r="15" ht="23.25" customHeight="1" s="57">
      <c r="A15" s="59" t="n">
        <v>14</v>
      </c>
      <c r="B15" s="60" t="inlineStr">
        <is>
          <t>1</t>
        </is>
      </c>
      <c r="C15" s="59" t="inlineStr">
        <is>
          <t>Georg Fischer (GF)</t>
        </is>
      </c>
      <c r="D15" s="59" t="inlineStr">
        <is>
          <t>Schaffhausen</t>
        </is>
      </c>
      <c r="E15" s="59" t="inlineStr">
        <is>
          <t>SH</t>
        </is>
      </c>
      <c r="F15" s="61" t="inlineStr">
        <is>
          <t>Maschinenbau/Fluidtechnik</t>
        </is>
      </c>
      <c r="G15" s="61" t="inlineStr">
        <is>
          <t>Rohrleitungssysteme, Armaturen, Wasserbehandlung, Präzisionsfertigung</t>
        </is>
      </c>
      <c r="H15" s="62" t="n">
        <v>4110</v>
      </c>
      <c r="I15" s="59" t="inlineStr">
        <is>
          <t>CHF</t>
        </is>
      </c>
      <c r="J15" s="62">
        <f>IF(H15="","",H15*IF(I15="CHF",1,IF(I15="EUR",'Legende &amp; Kriterien'!$C$13,'Legende &amp; Kriterien'!$C$14)))</f>
        <v/>
      </c>
      <c r="K15" s="59">
        <f>IF(P15="Rohstoffhandel","— Handel —",IF(J15="","k.A.",IF(J15&gt;=5000,"A: &gt;5 Mrd.",IF(J15&gt;=3000,"B: 3-5 Mrd.",IF(J15&gt;=1000,"C: 1-3 Mrd.","D: 0.1-1 Mrd.")))))</f>
        <v/>
      </c>
      <c r="L15" s="59" t="inlineStr">
        <is>
          <t>2025</t>
        </is>
      </c>
      <c r="M15" s="62" t="n">
        <v>16332</v>
      </c>
      <c r="N15" s="61" t="inlineStr">
        <is>
          <t>SIX: GF</t>
        </is>
      </c>
      <c r="O15" s="59" t="inlineStr">
        <is>
          <t>publiziert</t>
        </is>
      </c>
      <c r="P15" s="59" t="inlineStr">
        <is>
          <t>Grosskonzern</t>
        </is>
      </c>
      <c r="Q15" s="61" t="inlineStr">
        <is>
          <t>Machining Solutions 2025 an United Grinding verkauft</t>
        </is>
      </c>
      <c r="R15" s="63" t="n"/>
      <c r="S15" s="63" t="n"/>
      <c r="T15" s="63" t="n"/>
      <c r="U15" s="64" t="n"/>
      <c r="V15" s="65" t="inlineStr">
        <is>
          <t>https://www.georgfischer.com/content/dam/gfcorp/documents/newsroom/media-releases/annual-report-2025/20260225-ad-hoc-announcement-annual-report-2025-en.pdf</t>
        </is>
      </c>
      <c r="W15" s="59" t="inlineStr">
        <is>
          <t>Georg Fischer</t>
        </is>
      </c>
      <c r="X15" s="66" t="inlineStr">
        <is>
          <t>Stellen suchen</t>
        </is>
      </c>
      <c r="Y15" s="68" t="inlineStr">
        <is>
          <t>https://www.georgfischer.com/content/gfcorp/com/en/career/vacancies.html — nicht abrufbar ohne Rendern, Workday</t>
        </is>
      </c>
    </row>
    <row r="16" ht="15" customHeight="1" s="57">
      <c r="A16" s="59" t="n">
        <v>15</v>
      </c>
      <c r="B16" s="60" t="inlineStr">
        <is>
          <t>1</t>
        </is>
      </c>
      <c r="C16" s="59" t="inlineStr">
        <is>
          <t>Clariant</t>
        </is>
      </c>
      <c r="D16" s="59" t="inlineStr">
        <is>
          <t>Muttenz</t>
        </is>
      </c>
      <c r="E16" s="59" t="inlineStr">
        <is>
          <t>BL</t>
        </is>
      </c>
      <c r="F16" s="61" t="inlineStr">
        <is>
          <t>Spezialchemie</t>
        </is>
      </c>
      <c r="G16" s="61" t="inlineStr">
        <is>
          <t>Spezialchemikalien, Katalysatoren, Adsorbentien, Additive</t>
        </is>
      </c>
      <c r="H16" s="62" t="n">
        <v>3915</v>
      </c>
      <c r="I16" s="59" t="inlineStr">
        <is>
          <t>CHF</t>
        </is>
      </c>
      <c r="J16" s="62">
        <f>IF(H16="","",H16*IF(I16="CHF",1,IF(I16="EUR",'Legende &amp; Kriterien'!$C$13,'Legende &amp; Kriterien'!$C$14)))</f>
        <v/>
      </c>
      <c r="K16" s="59">
        <f>IF(P16="Rohstoffhandel","— Handel —",IF(J16="","k.A.",IF(J16&gt;=5000,"A: &gt;5 Mrd.",IF(J16&gt;=3000,"B: 3-5 Mrd.",IF(J16&gt;=1000,"C: 1-3 Mrd.","D: 0.1-1 Mrd.")))))</f>
        <v/>
      </c>
      <c r="L16" s="59" t="inlineStr">
        <is>
          <t>2025</t>
        </is>
      </c>
      <c r="M16" s="62" t="n">
        <v>10281</v>
      </c>
      <c r="N16" s="61" t="inlineStr">
        <is>
          <t>SIX: CLN</t>
        </is>
      </c>
      <c r="O16" s="59" t="inlineStr">
        <is>
          <t>publiziert</t>
        </is>
      </c>
      <c r="P16" s="59" t="inlineStr">
        <is>
          <t>Grosskonzern</t>
        </is>
      </c>
      <c r="Q16" s="61" t="n"/>
      <c r="R16" s="63" t="n"/>
      <c r="S16" s="63" t="n"/>
      <c r="T16" s="63" t="n"/>
      <c r="U16" s="64" t="n"/>
      <c r="V16" s="65" t="inlineStr">
        <is>
          <t>https://www.clariant.com/en/Corporate/News/2026/02/Clariant-delivers-third-year-of-strong-EBITDA-margin-improvement</t>
        </is>
      </c>
      <c r="W16" s="59" t="inlineStr">
        <is>
          <t>Clariant</t>
        </is>
      </c>
      <c r="X16" s="66" t="inlineStr">
        <is>
          <t>Stellen suchen</t>
        </is>
      </c>
      <c r="Y16" s="67" t="inlineStr">
        <is>
          <t>https://careers.clariant.com/search/</t>
        </is>
      </c>
    </row>
    <row r="17" ht="15" customHeight="1" s="57">
      <c r="A17" s="59" t="n">
        <v>16</v>
      </c>
      <c r="B17" s="60" t="inlineStr">
        <is>
          <t>1</t>
        </is>
      </c>
      <c r="C17" s="59" t="inlineStr">
        <is>
          <t>Logitech</t>
        </is>
      </c>
      <c r="D17" s="59" t="inlineStr">
        <is>
          <t>Lausanne</t>
        </is>
      </c>
      <c r="E17" s="59" t="inlineStr">
        <is>
          <t>VD</t>
        </is>
      </c>
      <c r="F17" s="61" t="inlineStr">
        <is>
          <t>Elektronik/Peripherie</t>
        </is>
      </c>
      <c r="G17" s="61" t="inlineStr">
        <is>
          <t>Mäuse, Tastaturen, Headsets, Webcams, Videokonferenzgeräte</t>
        </is>
      </c>
      <c r="H17" s="62" t="n">
        <v>4841</v>
      </c>
      <c r="I17" s="59" t="inlineStr">
        <is>
          <t>USD</t>
        </is>
      </c>
      <c r="J17" s="62">
        <f>IF(H17="","",H17*IF(I17="CHF",1,IF(I17="EUR",'Legende &amp; Kriterien'!$C$13,'Legende &amp; Kriterien'!$C$14)))</f>
        <v/>
      </c>
      <c r="K17" s="59">
        <f>IF(P17="Rohstoffhandel","— Handel —",IF(J17="","k.A.",IF(J17&gt;=5000,"A: &gt;5 Mrd.",IF(J17&gt;=3000,"B: 3-5 Mrd.",IF(J17&gt;=1000,"C: 1-3 Mrd.","D: 0.1-1 Mrd.")))))</f>
        <v/>
      </c>
      <c r="L17" s="59" t="inlineStr">
        <is>
          <t>2025/26</t>
        </is>
      </c>
      <c r="M17" s="62" t="n">
        <v>7300</v>
      </c>
      <c r="N17" s="61" t="inlineStr">
        <is>
          <t>SIX + Nasdaq: LOGN/LOGI</t>
        </is>
      </c>
      <c r="O17" s="59" t="inlineStr">
        <is>
          <t>publiziert</t>
        </is>
      </c>
      <c r="P17" s="59" t="inlineStr">
        <is>
          <t>Grosskonzern</t>
        </is>
      </c>
      <c r="Q17" s="61" t="inlineStr">
        <is>
          <t>Doppelsitz Lausanne / San Jose</t>
        </is>
      </c>
      <c r="R17" s="63" t="n"/>
      <c r="S17" s="63" t="n"/>
      <c r="T17" s="63" t="n"/>
      <c r="U17" s="64" t="n"/>
      <c r="V17" s="65" t="inlineStr">
        <is>
          <t>https://www.businesswire.com/news/home/20260505206276/en/Logitech-Announces-Q4-and-Full-Fiscal-Year-2026-Results</t>
        </is>
      </c>
      <c r="W17" s="59" t="inlineStr">
        <is>
          <t>Logitech</t>
        </is>
      </c>
      <c r="X17" s="66" t="inlineStr">
        <is>
          <t>Stellen suchen</t>
        </is>
      </c>
      <c r="Y17" s="68" t="inlineStr">
        <is>
          <t>https://logitech.wd5.myworkdayjobs.com/en-US/Logitech — nicht abrufbar ohne Rendern, Workday (CH ggf. robots-gesperrt)</t>
        </is>
      </c>
    </row>
    <row r="18" ht="15" customHeight="1" s="57">
      <c r="A18" s="59" t="n">
        <v>17</v>
      </c>
      <c r="B18" s="60" t="inlineStr">
        <is>
          <t>1</t>
        </is>
      </c>
      <c r="C18" s="59" t="inlineStr">
        <is>
          <t>Endress+Hauser</t>
        </is>
      </c>
      <c r="D18" s="59" t="inlineStr">
        <is>
          <t>Reinach</t>
        </is>
      </c>
      <c r="E18" s="59" t="inlineStr">
        <is>
          <t>BL</t>
        </is>
      </c>
      <c r="F18" s="61" t="inlineStr">
        <is>
          <t>Prozessmesstechnik</t>
        </is>
      </c>
      <c r="G18" s="61" t="inlineStr">
        <is>
          <t>Messgeräte für Füllstand, Druck, Durchfluss, Analyse</t>
        </is>
      </c>
      <c r="H18" s="62" t="n">
        <v>4010</v>
      </c>
      <c r="I18" s="59" t="inlineStr">
        <is>
          <t>EUR</t>
        </is>
      </c>
      <c r="J18" s="62">
        <f>IF(H18="","",H18*IF(I18="CHF",1,IF(I18="EUR",'Legende &amp; Kriterien'!$C$13,'Legende &amp; Kriterien'!$C$14)))</f>
        <v/>
      </c>
      <c r="K18" s="59">
        <f>IF(P18="Rohstoffhandel","— Handel —",IF(J18="","k.A.",IF(J18&gt;=5000,"A: &gt;5 Mrd.",IF(J18&gt;=3000,"B: 3-5 Mrd.",IF(J18&gt;=1000,"C: 1-3 Mrd.","D: 0.1-1 Mrd.")))))</f>
        <v/>
      </c>
      <c r="L18" s="59" t="inlineStr">
        <is>
          <t>2025</t>
        </is>
      </c>
      <c r="M18" s="62" t="n">
        <v>18306</v>
      </c>
      <c r="N18" s="61" t="inlineStr">
        <is>
          <t>Familie Endress (100%)</t>
        </is>
      </c>
      <c r="O18" s="59" t="inlineStr">
        <is>
          <t>publiziert</t>
        </is>
      </c>
      <c r="P18" s="59" t="inlineStr">
        <is>
          <t>Grosskonzern</t>
        </is>
      </c>
      <c r="Q18" s="61" t="n"/>
      <c r="R18" s="63" t="n"/>
      <c r="S18" s="63" t="n"/>
      <c r="T18" s="63" t="n"/>
      <c r="U18" s="64" t="n"/>
      <c r="V18" s="65" t="inlineStr">
        <is>
          <t>https://www.muehle-mischfutter.de/artikel/endress-hauser-2025-uber-vier-mrd--euro-umsatz</t>
        </is>
      </c>
      <c r="W18" s="59" t="inlineStr">
        <is>
          <t>Endress Hauser</t>
        </is>
      </c>
      <c r="X18" s="66" t="inlineStr">
        <is>
          <t>Stellen suchen</t>
        </is>
      </c>
      <c r="Y18" s="68" t="inlineStr">
        <is>
          <t>https://careers.endress.com/Switzerland/content/search/?locale=en_US — nicht abrufbar ohne Rendern, Cookie-Wall</t>
        </is>
      </c>
    </row>
    <row r="19" ht="23.25" customHeight="1" s="57">
      <c r="A19" s="59" t="n">
        <v>18</v>
      </c>
      <c r="B19" s="60" t="inlineStr">
        <is>
          <t>1</t>
        </is>
      </c>
      <c r="C19" s="59" t="inlineStr">
        <is>
          <t>Stadler Rail</t>
        </is>
      </c>
      <c r="D19" s="59" t="inlineStr">
        <is>
          <t>Bussnang</t>
        </is>
      </c>
      <c r="E19" s="59" t="inlineStr">
        <is>
          <t>TG</t>
        </is>
      </c>
      <c r="F19" s="61" t="inlineStr">
        <is>
          <t>Schienenfahrzeugbau</t>
        </is>
      </c>
      <c r="G19" s="61" t="inlineStr">
        <is>
          <t>Triebzüge, Trams, Lokomotiven, Signaltechnik, Fahrzeugservice</t>
        </is>
      </c>
      <c r="H19" s="62" t="n">
        <v>3679</v>
      </c>
      <c r="I19" s="59" t="inlineStr">
        <is>
          <t>CHF</t>
        </is>
      </c>
      <c r="J19" s="62">
        <f>IF(H19="","",H19*IF(I19="CHF",1,IF(I19="EUR",'Legende &amp; Kriterien'!$C$13,'Legende &amp; Kriterien'!$C$14)))</f>
        <v/>
      </c>
      <c r="K19" s="59">
        <f>IF(P19="Rohstoffhandel","— Handel —",IF(J19="","k.A.",IF(J19&gt;=5000,"A: &gt;5 Mrd.",IF(J19&gt;=3000,"B: 3-5 Mrd.",IF(J19&gt;=1000,"C: 1-3 Mrd.","D: 0.1-1 Mrd.")))))</f>
        <v/>
      </c>
      <c r="L19" s="59" t="inlineStr">
        <is>
          <t>2025</t>
        </is>
      </c>
      <c r="M19" s="62" t="n">
        <v>17100</v>
      </c>
      <c r="N19" s="61" t="inlineStr">
        <is>
          <t>SIX: SRAIL, PCS Holding (P. Spuhler)</t>
        </is>
      </c>
      <c r="O19" s="59" t="inlineStr">
        <is>
          <t>publiziert</t>
        </is>
      </c>
      <c r="P19" s="59" t="inlineStr">
        <is>
          <t>Grosskonzern</t>
        </is>
      </c>
      <c r="Q19" s="61" t="inlineStr">
        <is>
          <t>Rund 6'000 Mitarbeitende in der Schweiz</t>
        </is>
      </c>
      <c r="R19" s="63" t="n"/>
      <c r="S19" s="63" t="n"/>
      <c r="T19" s="63" t="n"/>
      <c r="U19" s="64" t="n"/>
      <c r="V19" s="65" t="inlineStr">
        <is>
          <t>https://www.stadlerrail.com/en/investors/</t>
        </is>
      </c>
      <c r="W19" s="59" t="inlineStr">
        <is>
          <t>Stadler Rail</t>
        </is>
      </c>
      <c r="X19" s="66" t="inlineStr">
        <is>
          <t>Stellen suchen</t>
        </is>
      </c>
      <c r="Y19" s="67" t="inlineStr">
        <is>
          <t>https://jobs.stadlerrail.ch/</t>
        </is>
      </c>
    </row>
    <row r="20" ht="15" customHeight="1" s="57">
      <c r="A20" s="59" t="n">
        <v>19</v>
      </c>
      <c r="B20" s="60" t="inlineStr">
        <is>
          <t>1</t>
        </is>
      </c>
      <c r="C20" s="59" t="inlineStr">
        <is>
          <t>Sonova</t>
        </is>
      </c>
      <c r="D20" s="59" t="inlineStr">
        <is>
          <t>Stäfa</t>
        </is>
      </c>
      <c r="E20" s="59" t="inlineStr">
        <is>
          <t>ZH</t>
        </is>
      </c>
      <c r="F20" s="61" t="inlineStr">
        <is>
          <t>Medizintechnik</t>
        </is>
      </c>
      <c r="G20" s="61" t="inlineStr">
        <is>
          <t>Hörgeräte, Cochlea-Implantate, drahtlose Audiosysteme</t>
        </is>
      </c>
      <c r="H20" s="62" t="n">
        <v>3606</v>
      </c>
      <c r="I20" s="59" t="inlineStr">
        <is>
          <t>CHF</t>
        </is>
      </c>
      <c r="J20" s="62">
        <f>IF(H20="","",H20*IF(I20="CHF",1,IF(I20="EUR",'Legende &amp; Kriterien'!$C$13,'Legende &amp; Kriterien'!$C$14)))</f>
        <v/>
      </c>
      <c r="K20" s="59">
        <f>IF(P20="Rohstoffhandel","— Handel —",IF(J20="","k.A.",IF(J20&gt;=5000,"A: &gt;5 Mrd.",IF(J20&gt;=3000,"B: 3-5 Mrd.",IF(J20&gt;=1000,"C: 1-3 Mrd.","D: 0.1-1 Mrd.")))))</f>
        <v/>
      </c>
      <c r="L20" s="59" t="inlineStr">
        <is>
          <t>2025/26</t>
        </is>
      </c>
      <c r="M20" s="62" t="n">
        <v>18000</v>
      </c>
      <c r="N20" s="61" t="inlineStr">
        <is>
          <t>SIX: SOON</t>
        </is>
      </c>
      <c r="O20" s="59" t="inlineStr">
        <is>
          <t>publiziert</t>
        </is>
      </c>
      <c r="P20" s="59" t="inlineStr">
        <is>
          <t>Grosskonzern</t>
        </is>
      </c>
      <c r="Q20" s="61" t="n"/>
      <c r="R20" s="63" t="n"/>
      <c r="S20" s="63" t="n"/>
      <c r="T20" s="63" t="n"/>
      <c r="U20" s="64" t="n"/>
      <c r="V20" s="65" t="inlineStr">
        <is>
          <t>https://report.sonova.com/2026/en/startpage</t>
        </is>
      </c>
      <c r="W20" s="59" t="inlineStr">
        <is>
          <t>Sonova</t>
        </is>
      </c>
      <c r="X20" s="66" t="inlineStr">
        <is>
          <t>Stellen suchen</t>
        </is>
      </c>
      <c r="Y20" s="67" t="inlineStr">
        <is>
          <t>https://jobs.sonova.com/go/All-Jobs/4577301/</t>
        </is>
      </c>
    </row>
    <row r="21" ht="23.25" customHeight="1" s="57">
      <c r="A21" s="59" t="n">
        <v>20</v>
      </c>
      <c r="B21" s="60" t="inlineStr">
        <is>
          <t>1</t>
        </is>
      </c>
      <c r="C21" s="59" t="inlineStr">
        <is>
          <t>Sulzer</t>
        </is>
      </c>
      <c r="D21" s="59" t="inlineStr">
        <is>
          <t>Winterthur</t>
        </is>
      </c>
      <c r="E21" s="59" t="inlineStr">
        <is>
          <t>ZH</t>
        </is>
      </c>
      <c r="F21" s="61" t="inlineStr">
        <is>
          <t>Maschinenbau/Anlagentechnik</t>
        </is>
      </c>
      <c r="G21" s="61" t="inlineStr">
        <is>
          <t>Pumpen, Rührwerke, Trennkolonnen, Strömungsmaschinen und Service</t>
        </is>
      </c>
      <c r="H21" s="62" t="n">
        <v>3555</v>
      </c>
      <c r="I21" s="59" t="inlineStr">
        <is>
          <t>CHF</t>
        </is>
      </c>
      <c r="J21" s="62">
        <f>IF(H21="","",H21*IF(I21="CHF",1,IF(I21="EUR",'Legende &amp; Kriterien'!$C$13,'Legende &amp; Kriterien'!$C$14)))</f>
        <v/>
      </c>
      <c r="K21" s="59">
        <f>IF(P21="Rohstoffhandel","— Handel —",IF(J21="","k.A.",IF(J21&gt;=5000,"A: &gt;5 Mrd.",IF(J21&gt;=3000,"B: 3-5 Mrd.",IF(J21&gt;=1000,"C: 1-3 Mrd.","D: 0.1-1 Mrd.")))))</f>
        <v/>
      </c>
      <c r="L21" s="59" t="inlineStr">
        <is>
          <t>2025</t>
        </is>
      </c>
      <c r="M21" s="62" t="n">
        <v>13526</v>
      </c>
      <c r="N21" s="61" t="inlineStr">
        <is>
          <t>SIX: SUN, Grossaktionärin Tiwel</t>
        </is>
      </c>
      <c r="O21" s="59" t="inlineStr">
        <is>
          <t>publiziert</t>
        </is>
      </c>
      <c r="P21" s="59" t="inlineStr">
        <is>
          <t>Grosskonzern</t>
        </is>
      </c>
      <c r="Q21" s="61" t="n"/>
      <c r="R21" s="63" t="n"/>
      <c r="S21" s="63" t="n"/>
      <c r="T21" s="63" t="n"/>
      <c r="U21" s="64" t="n"/>
      <c r="V21" s="65" t="inlineStr">
        <is>
          <t>https://www.sulzer.com/en/-/media/files/news/2026/20260226sulzer-exceeds-chf-550-million-ebitda.pdf</t>
        </is>
      </c>
      <c r="W21" s="59" t="inlineStr">
        <is>
          <t>Sulzer</t>
        </is>
      </c>
      <c r="X21" s="66" t="inlineStr">
        <is>
          <t>Stellen suchen</t>
        </is>
      </c>
      <c r="Y21" s="68" t="inlineStr">
        <is>
          <t>https://sulzer.wd502.myworkdayjobs.com/SulzerJobs — nicht abrufbar ohne Rendern, Workday</t>
        </is>
      </c>
    </row>
    <row r="22" ht="23.25" customHeight="1" s="57">
      <c r="A22" s="59" t="n">
        <v>21</v>
      </c>
      <c r="B22" s="60" t="inlineStr">
        <is>
          <t>1</t>
        </is>
      </c>
      <c r="C22" s="59" t="inlineStr">
        <is>
          <t>Mettler-Toledo</t>
        </is>
      </c>
      <c r="D22" s="59" t="inlineStr">
        <is>
          <t>Greifensee</t>
        </is>
      </c>
      <c r="E22" s="59" t="inlineStr">
        <is>
          <t>ZH</t>
        </is>
      </c>
      <c r="F22" s="61" t="inlineStr">
        <is>
          <t>Mess-/Wäge-/Analysetechnik</t>
        </is>
      </c>
      <c r="G22" s="61" t="inlineStr">
        <is>
          <t>Präzisionswaagen, Laborinstrumente, Pipetten, Produktinspektionssysteme</t>
        </is>
      </c>
      <c r="H22" s="62" t="n">
        <v>4026</v>
      </c>
      <c r="I22" s="59" t="inlineStr">
        <is>
          <t>USD</t>
        </is>
      </c>
      <c r="J22" s="62">
        <f>IF(H22="","",H22*IF(I22="CHF",1,IF(I22="EUR",'Legende &amp; Kriterien'!$C$13,'Legende &amp; Kriterien'!$C$14)))</f>
        <v/>
      </c>
      <c r="K22" s="59">
        <f>IF(P22="Rohstoffhandel","— Handel —",IF(J22="","k.A.",IF(J22&gt;=5000,"A: &gt;5 Mrd.",IF(J22&gt;=3000,"B: 3-5 Mrd.",IF(J22&gt;=1000,"C: 1-3 Mrd.","D: 0.1-1 Mrd.")))))</f>
        <v/>
      </c>
      <c r="L22" s="59" t="inlineStr">
        <is>
          <t>2025</t>
        </is>
      </c>
      <c r="M22" s="62" t="n">
        <v>18100</v>
      </c>
      <c r="N22" s="61" t="inlineStr">
        <is>
          <t>NYSE: MTD</t>
        </is>
      </c>
      <c r="O22" s="59" t="inlineStr">
        <is>
          <t>publiziert</t>
        </is>
      </c>
      <c r="P22" s="59" t="inlineStr">
        <is>
          <t>Grenzfall</t>
        </is>
      </c>
      <c r="Q22" s="61" t="inlineStr">
        <is>
          <t>Delaware-Gesellschaft mit Doppelsitz Greifensee / Columbus (Ohio)</t>
        </is>
      </c>
      <c r="R22" s="63" t="n"/>
      <c r="S22" s="63" t="n"/>
      <c r="T22" s="63" t="n"/>
      <c r="U22" s="64" t="n"/>
      <c r="V22" s="65" t="inlineStr">
        <is>
          <t>https://investor.mt.com/news/news-details/2026/Mettler-Toledo-International-Inc--Reports-Fourth-Quarter-2025-Results/default.aspx</t>
        </is>
      </c>
      <c r="W22" s="59" t="inlineStr">
        <is>
          <t>Mettler-Toledo</t>
        </is>
      </c>
      <c r="X22" s="66" t="inlineStr">
        <is>
          <t>Stellen suchen</t>
        </is>
      </c>
      <c r="Y22" s="67" t="inlineStr">
        <is>
          <t>https://jobs.mt.com/en/search-jobs</t>
        </is>
      </c>
    </row>
    <row r="23" ht="15" customHeight="1" s="57">
      <c r="A23" s="59" t="n">
        <v>22</v>
      </c>
      <c r="B23" s="60" t="inlineStr">
        <is>
          <t>1</t>
        </is>
      </c>
      <c r="C23" s="59" t="inlineStr">
        <is>
          <t>Geberit</t>
        </is>
      </c>
      <c r="D23" s="59" t="inlineStr">
        <is>
          <t>Rapperswil-Jona</t>
        </is>
      </c>
      <c r="E23" s="59" t="inlineStr">
        <is>
          <t>SG</t>
        </is>
      </c>
      <c r="F23" s="61" t="inlineStr">
        <is>
          <t>Sanitär-/Gebäudetechnik</t>
        </is>
      </c>
      <c r="G23" s="61" t="inlineStr">
        <is>
          <t>Sanitärtechnik, Rohrleitungssysteme, Spülkästen, Badkeramik</t>
        </is>
      </c>
      <c r="H23" s="62" t="n">
        <v>3163</v>
      </c>
      <c r="I23" s="59" t="inlineStr">
        <is>
          <t>CHF</t>
        </is>
      </c>
      <c r="J23" s="62">
        <f>IF(H23="","",H23*IF(I23="CHF",1,IF(I23="EUR",'Legende &amp; Kriterien'!$C$13,'Legende &amp; Kriterien'!$C$14)))</f>
        <v/>
      </c>
      <c r="K23" s="59">
        <f>IF(P23="Rohstoffhandel","— Handel —",IF(J23="","k.A.",IF(J23&gt;=5000,"A: &gt;5 Mrd.",IF(J23&gt;=3000,"B: 3-5 Mrd.",IF(J23&gt;=1000,"C: 1-3 Mrd.","D: 0.1-1 Mrd.")))))</f>
        <v/>
      </c>
      <c r="L23" s="59" t="inlineStr">
        <is>
          <t>2025</t>
        </is>
      </c>
      <c r="M23" s="62" t="n">
        <v>11278</v>
      </c>
      <c r="N23" s="61" t="inlineStr">
        <is>
          <t>SIX: GEBN</t>
        </is>
      </c>
      <c r="O23" s="59" t="inlineStr">
        <is>
          <t>publiziert</t>
        </is>
      </c>
      <c r="P23" s="59" t="inlineStr">
        <is>
          <t>Grosskonzern</t>
        </is>
      </c>
      <c r="Q23" s="61" t="n"/>
      <c r="R23" s="63" t="n"/>
      <c r="S23" s="63" t="n"/>
      <c r="T23" s="63" t="n"/>
      <c r="U23" s="64" t="n"/>
      <c r="V23" s="65" t="inlineStr">
        <is>
          <t>https://www.geberit.com/assets/downloads/media-releases/2026/media-release-annual-results-2025.pdf</t>
        </is>
      </c>
      <c r="W23" s="59" t="inlineStr">
        <is>
          <t>Geberit</t>
        </is>
      </c>
      <c r="X23" s="66" t="inlineStr">
        <is>
          <t>Stellen suchen</t>
        </is>
      </c>
      <c r="Y23" s="68" t="inlineStr">
        <is>
          <t>https://www.geberit.ch/karriere/ — nicht abrufbar ohne Rendern, Navigation unklar</t>
        </is>
      </c>
    </row>
    <row r="24" ht="15" customHeight="1" s="57">
      <c r="A24" s="69" t="n">
        <v>23</v>
      </c>
      <c r="B24" s="70" t="inlineStr">
        <is>
          <t>2</t>
        </is>
      </c>
      <c r="C24" s="69" t="inlineStr">
        <is>
          <t>ams-OSRAM</t>
        </is>
      </c>
      <c r="D24" s="69" t="inlineStr">
        <is>
          <t>Premstätten (AT)</t>
        </is>
      </c>
      <c r="E24" s="69" t="inlineStr">
        <is>
          <t>–</t>
        </is>
      </c>
      <c r="F24" s="71" t="inlineStr">
        <is>
          <t>Halbleiter/Photonik</t>
        </is>
      </c>
      <c r="G24" s="71" t="inlineStr">
        <is>
          <t>Optische Sensoren, LEDs, Fahrzeuglampen, Photonik-Bauelemente</t>
        </is>
      </c>
      <c r="H24" s="72" t="n">
        <v>3300</v>
      </c>
      <c r="I24" s="69" t="inlineStr">
        <is>
          <t>EUR</t>
        </is>
      </c>
      <c r="J24" s="72">
        <f>IF(H24="","",H24*IF(I24="CHF",1,IF(I24="EUR",'Legende &amp; Kriterien'!$C$13,'Legende &amp; Kriterien'!$C$14)))</f>
        <v/>
      </c>
      <c r="K24" s="69">
        <f>IF(P24="Rohstoffhandel","— Handel —",IF(J24="","k.A.",IF(J24&gt;=5000,"A: &gt;5 Mrd.",IF(J24&gt;=3000,"B: 3-5 Mrd.",IF(J24&gt;=1000,"C: 1-3 Mrd.","D: 0.1-1 Mrd.")))))</f>
        <v/>
      </c>
      <c r="L24" s="69" t="inlineStr">
        <is>
          <t>2025</t>
        </is>
      </c>
      <c r="M24" s="72" t="n">
        <v>18500</v>
      </c>
      <c r="N24" s="71" t="inlineStr">
        <is>
          <t>SIX: AMS</t>
        </is>
      </c>
      <c r="O24" s="69" t="inlineStr">
        <is>
          <t>publiziert</t>
        </is>
      </c>
      <c r="P24" s="69" t="inlineStr">
        <is>
          <t>Grenzfall</t>
        </is>
      </c>
      <c r="Q24" s="71" t="inlineStr">
        <is>
          <t>Sitz Österreich — nur an der SIX kotiert</t>
        </is>
      </c>
      <c r="R24" s="63" t="n"/>
      <c r="S24" s="63" t="n"/>
      <c r="T24" s="63" t="n"/>
      <c r="U24" s="64" t="n"/>
      <c r="V24" s="73" t="inlineStr">
        <is>
          <t>https://ams-osram.com/press/corporate-info</t>
        </is>
      </c>
      <c r="W24" s="69" t="inlineStr">
        <is>
          <t>ams-OSRAM</t>
        </is>
      </c>
      <c r="X24" s="74" t="inlineStr">
        <is>
          <t>Stellen suchen</t>
        </is>
      </c>
    </row>
    <row r="25" ht="23.25" customHeight="1" s="57">
      <c r="A25" s="75" t="n">
        <v>24</v>
      </c>
      <c r="B25" s="76" t="inlineStr">
        <is>
          <t>2</t>
        </is>
      </c>
      <c r="C25" s="75" t="inlineStr">
        <is>
          <t>SFS Group</t>
        </is>
      </c>
      <c r="D25" s="75" t="inlineStr">
        <is>
          <t>Heerbrugg (Widnau)</t>
        </is>
      </c>
      <c r="E25" s="75" t="inlineStr">
        <is>
          <t>SG</t>
        </is>
      </c>
      <c r="F25" s="77" t="inlineStr">
        <is>
          <t>Präzisionsteile/Verbindungstechnik</t>
        </is>
      </c>
      <c r="G25" s="77" t="inlineStr">
        <is>
          <t>Präzisionsformteile, Befestigungssysteme, medizintechnische Komponenten</t>
        </is>
      </c>
      <c r="H25" s="78" t="n">
        <v>3057</v>
      </c>
      <c r="I25" s="75" t="inlineStr">
        <is>
          <t>CHF</t>
        </is>
      </c>
      <c r="J25" s="78">
        <f>IF(H25="","",H25*IF(I25="CHF",1,IF(I25="EUR",'Legende &amp; Kriterien'!$C$13,'Legende &amp; Kriterien'!$C$14)))</f>
        <v/>
      </c>
      <c r="K25" s="75">
        <f>IF(P25="Rohstoffhandel","— Handel —",IF(J25="","k.A.",IF(J25&gt;=5000,"A: &gt;5 Mrd.",IF(J25&gt;=3000,"B: 3-5 Mrd.",IF(J25&gt;=1000,"C: 1-3 Mrd.","D: 0.1-1 Mrd.")))))</f>
        <v/>
      </c>
      <c r="L25" s="75" t="inlineStr">
        <is>
          <t>2025</t>
        </is>
      </c>
      <c r="M25" s="78" t="n">
        <v>13600</v>
      </c>
      <c r="N25" s="77" t="inlineStr">
        <is>
          <t>SIX: SFSN, Familienaktionariat</t>
        </is>
      </c>
      <c r="O25" s="75" t="inlineStr">
        <is>
          <t>publiziert</t>
        </is>
      </c>
      <c r="P25" s="75" t="inlineStr">
        <is>
          <t>Grosskonzern</t>
        </is>
      </c>
      <c r="Q25" s="77" t="n"/>
      <c r="R25" s="63" t="n"/>
      <c r="S25" s="63" t="n"/>
      <c r="T25" s="63" t="n"/>
      <c r="U25" s="64" t="n"/>
      <c r="V25" s="79" t="inlineStr">
        <is>
          <t>https://www.sfs.com/ch/en/sfs-group/sfs-at-a-glance/</t>
        </is>
      </c>
      <c r="W25" s="75" t="inlineStr">
        <is>
          <t>SFS</t>
        </is>
      </c>
      <c r="X25" s="80" t="inlineStr">
        <is>
          <t>Stellen suchen</t>
        </is>
      </c>
    </row>
    <row r="26" ht="15" customHeight="1" s="57">
      <c r="A26" s="75" t="n">
        <v>25</v>
      </c>
      <c r="B26" s="76" t="inlineStr">
        <is>
          <t>2</t>
        </is>
      </c>
      <c r="C26" s="75" t="inlineStr">
        <is>
          <t>SIG Group</t>
        </is>
      </c>
      <c r="D26" s="75" t="inlineStr">
        <is>
          <t>Neuhausen a. Rhf.</t>
        </is>
      </c>
      <c r="E26" s="75" t="inlineStr">
        <is>
          <t>SH</t>
        </is>
      </c>
      <c r="F26" s="77" t="inlineStr">
        <is>
          <t>Verpackungssysteme</t>
        </is>
      </c>
      <c r="G26" s="77" t="inlineStr">
        <is>
          <t>Aseptische Kartonverpackungen, Beutel, Abfüllmaschinen</t>
        </is>
      </c>
      <c r="H26" s="78" t="n">
        <v>3249</v>
      </c>
      <c r="I26" s="75" t="inlineStr">
        <is>
          <t>EUR</t>
        </is>
      </c>
      <c r="J26" s="78">
        <f>IF(H26="","",H26*IF(I26="CHF",1,IF(I26="EUR",'Legende &amp; Kriterien'!$C$13,'Legende &amp; Kriterien'!$C$14)))</f>
        <v/>
      </c>
      <c r="K26" s="75">
        <f>IF(P26="Rohstoffhandel","— Handel —",IF(J26="","k.A.",IF(J26&gt;=5000,"A: &gt;5 Mrd.",IF(J26&gt;=3000,"B: 3-5 Mrd.",IF(J26&gt;=1000,"C: 1-3 Mrd.","D: 0.1-1 Mrd.")))))</f>
        <v/>
      </c>
      <c r="L26" s="75" t="inlineStr">
        <is>
          <t>2025</t>
        </is>
      </c>
      <c r="M26" s="78" t="n">
        <v>9700</v>
      </c>
      <c r="N26" s="77" t="inlineStr">
        <is>
          <t>SIX: SIGN</t>
        </is>
      </c>
      <c r="O26" s="75" t="inlineStr">
        <is>
          <t>publiziert</t>
        </is>
      </c>
      <c r="P26" s="75" t="inlineStr">
        <is>
          <t>Grosskonzern</t>
        </is>
      </c>
      <c r="Q26" s="77" t="n"/>
      <c r="R26" s="63" t="n"/>
      <c r="S26" s="63" t="n"/>
      <c r="T26" s="63" t="n"/>
      <c r="U26" s="64" t="n"/>
      <c r="V26" s="79" t="inlineStr">
        <is>
          <t>https://www.sig.biz/investors</t>
        </is>
      </c>
      <c r="W26" s="75" t="inlineStr">
        <is>
          <t>SIG</t>
        </is>
      </c>
      <c r="X26" s="80" t="inlineStr">
        <is>
          <t>Stellen suchen</t>
        </is>
      </c>
    </row>
    <row r="27" ht="15" customHeight="1" s="57">
      <c r="A27" s="59" t="n">
        <v>26</v>
      </c>
      <c r="B27" s="60" t="inlineStr">
        <is>
          <t>1</t>
        </is>
      </c>
      <c r="C27" s="59" t="inlineStr">
        <is>
          <t>Bucher Industries</t>
        </is>
      </c>
      <c r="D27" s="59" t="inlineStr">
        <is>
          <t>Niederweningen</t>
        </is>
      </c>
      <c r="E27" s="59" t="inlineStr">
        <is>
          <t>ZH</t>
        </is>
      </c>
      <c r="F27" s="61" t="inlineStr">
        <is>
          <t>Maschinenbau</t>
        </is>
      </c>
      <c r="G27" s="61" t="inlineStr">
        <is>
          <t>Landmaschinen, Kommunalfahrzeuge, Hydraulik, Glasanlagen</t>
        </is>
      </c>
      <c r="H27" s="62" t="n">
        <v>2914</v>
      </c>
      <c r="I27" s="59" t="inlineStr">
        <is>
          <t>CHF</t>
        </is>
      </c>
      <c r="J27" s="62">
        <f>IF(H27="","",H27*IF(I27="CHF",1,IF(I27="EUR",'Legende &amp; Kriterien'!$C$13,'Legende &amp; Kriterien'!$C$14)))</f>
        <v/>
      </c>
      <c r="K27" s="59">
        <f>IF(P27="Rohstoffhandel","— Handel —",IF(J27="","k.A.",IF(J27&gt;=5000,"A: &gt;5 Mrd.",IF(J27&gt;=3000,"B: 3-5 Mrd.",IF(J27&gt;=1000,"C: 1-3 Mrd.","D: 0.1-1 Mrd.")))))</f>
        <v/>
      </c>
      <c r="L27" s="59" t="inlineStr">
        <is>
          <t>2025</t>
        </is>
      </c>
      <c r="M27" s="62" t="n">
        <v>12700</v>
      </c>
      <c r="N27" s="61" t="inlineStr">
        <is>
          <t>SIX: BUCN</t>
        </is>
      </c>
      <c r="O27" s="59" t="inlineStr">
        <is>
          <t>publiziert</t>
        </is>
      </c>
      <c r="P27" s="59" t="inlineStr">
        <is>
          <t>im Band</t>
        </is>
      </c>
      <c r="Q27" s="61" t="n"/>
      <c r="R27" s="63" t="n"/>
      <c r="S27" s="63" t="n"/>
      <c r="T27" s="63" t="n"/>
      <c r="U27" s="64" t="n"/>
      <c r="V27" s="65" t="inlineStr">
        <is>
          <t>https://stockanalysis.com/quote/swx/BUCN/financials/</t>
        </is>
      </c>
      <c r="W27" s="59" t="inlineStr">
        <is>
          <t>Bucher Municipal</t>
        </is>
      </c>
      <c r="X27" s="66" t="inlineStr">
        <is>
          <t>Stellen suchen</t>
        </is>
      </c>
      <c r="Y27" s="68" t="inlineStr">
        <is>
          <t>https://www.bucherindustries.com/en/career/vacancies — nicht abrufbar ohne Rendern, keine Konzernliste</t>
        </is>
      </c>
    </row>
    <row r="28" ht="15" customHeight="1" s="57">
      <c r="A28" s="81" t="n">
        <v>27</v>
      </c>
      <c r="B28" s="82" t="inlineStr">
        <is>
          <t>2</t>
        </is>
      </c>
      <c r="C28" s="81" t="inlineStr">
        <is>
          <t>dormakaba</t>
        </is>
      </c>
      <c r="D28" s="81" t="inlineStr">
        <is>
          <t>Rümlang</t>
        </is>
      </c>
      <c r="E28" s="81" t="inlineStr">
        <is>
          <t>ZH</t>
        </is>
      </c>
      <c r="F28" s="83" t="inlineStr">
        <is>
          <t>Sicherheitstechnik</t>
        </is>
      </c>
      <c r="G28" s="83" t="inlineStr">
        <is>
          <t>Türtechnik, Schliesssysteme, Zutrittskontrolle</t>
        </is>
      </c>
      <c r="H28" s="84" t="n">
        <v>2870</v>
      </c>
      <c r="I28" s="81" t="inlineStr">
        <is>
          <t>CHF</t>
        </is>
      </c>
      <c r="J28" s="84">
        <f>IF(H28="","",H28*IF(I28="CHF",1,IF(I28="EUR",'Legende &amp; Kriterien'!$C$13,'Legende &amp; Kriterien'!$C$14)))</f>
        <v/>
      </c>
      <c r="K28" s="81">
        <f>IF(P28="Rohstoffhandel","— Handel —",IF(J28="","k.A.",IF(J28&gt;=5000,"A: &gt;5 Mrd.",IF(J28&gt;=3000,"B: 3-5 Mrd.",IF(J28&gt;=1000,"C: 1-3 Mrd.","D: 0.1-1 Mrd.")))))</f>
        <v/>
      </c>
      <c r="L28" s="81" t="inlineStr">
        <is>
          <t>2024/25</t>
        </is>
      </c>
      <c r="M28" s="84" t="n">
        <v>15400</v>
      </c>
      <c r="N28" s="83" t="inlineStr">
        <is>
          <t>SIX: DOKA</t>
        </is>
      </c>
      <c r="O28" s="81" t="inlineStr">
        <is>
          <t>publiziert</t>
        </is>
      </c>
      <c r="P28" s="81" t="inlineStr">
        <is>
          <t>im Band</t>
        </is>
      </c>
      <c r="Q28" s="83" t="n"/>
      <c r="R28" s="63" t="n"/>
      <c r="S28" s="63" t="n"/>
      <c r="T28" s="63" t="n"/>
      <c r="U28" s="64" t="n"/>
      <c r="V28" s="85" t="inlineStr">
        <is>
          <t>https://stockanalysis.com/quote/swx/DOKA/financials/</t>
        </is>
      </c>
      <c r="W28" s="81" t="inlineStr">
        <is>
          <t>dormakaba</t>
        </is>
      </c>
      <c r="X28" s="86" t="inlineStr">
        <is>
          <t>Stellen suchen</t>
        </is>
      </c>
    </row>
    <row r="29" ht="23.25" customHeight="1" s="57">
      <c r="A29" s="59" t="n">
        <v>28</v>
      </c>
      <c r="B29" s="60" t="inlineStr">
        <is>
          <t>1</t>
        </is>
      </c>
      <c r="C29" s="59" t="inlineStr">
        <is>
          <t>Bühler Group</t>
        </is>
      </c>
      <c r="D29" s="59" t="inlineStr">
        <is>
          <t>Uzwil</t>
        </is>
      </c>
      <c r="E29" s="59" t="inlineStr">
        <is>
          <t>SG</t>
        </is>
      </c>
      <c r="F29" s="61" t="inlineStr">
        <is>
          <t>Verfahrenstechnik</t>
        </is>
      </c>
      <c r="G29" s="61" t="inlineStr">
        <is>
          <t>Anlagen für Getreide-, Lebensmittel- und Materialverarbeitung, Druckguss</t>
        </is>
      </c>
      <c r="H29" s="62" t="n">
        <v>2753</v>
      </c>
      <c r="I29" s="59" t="inlineStr">
        <is>
          <t>CHF</t>
        </is>
      </c>
      <c r="J29" s="62">
        <f>IF(H29="","",H29*IF(I29="CHF",1,IF(I29="EUR",'Legende &amp; Kriterien'!$C$13,'Legende &amp; Kriterien'!$C$14)))</f>
        <v/>
      </c>
      <c r="K29" s="59">
        <f>IF(P29="Rohstoffhandel","— Handel —",IF(J29="","k.A.",IF(J29&gt;=5000,"A: &gt;5 Mrd.",IF(J29&gt;=3000,"B: 3-5 Mrd.",IF(J29&gt;=1000,"C: 1-3 Mrd.","D: 0.1-1 Mrd.")))))</f>
        <v/>
      </c>
      <c r="L29" s="59" t="inlineStr">
        <is>
          <t>2025</t>
        </is>
      </c>
      <c r="M29" s="62" t="n">
        <v>12300</v>
      </c>
      <c r="N29" s="61" t="inlineStr">
        <is>
          <t>Familie Bühler (100%)</t>
        </is>
      </c>
      <c r="O29" s="59" t="inlineStr">
        <is>
          <t>publiziert</t>
        </is>
      </c>
      <c r="P29" s="59" t="inlineStr">
        <is>
          <t>im Band</t>
        </is>
      </c>
      <c r="Q29" s="61" t="n"/>
      <c r="R29" s="63" t="n"/>
      <c r="S29" s="63" t="n"/>
      <c r="T29" s="63" t="n"/>
      <c r="U29" s="64" t="n"/>
      <c r="V29" s="65" t="inlineStr">
        <is>
          <t>https://www.moneycab.com/schweiz/buehler-buesst-2025-an-umsatz-ein/</t>
        </is>
      </c>
      <c r="W29" s="59" t="inlineStr">
        <is>
          <t>Bühler</t>
        </is>
      </c>
      <c r="X29" s="66" t="inlineStr">
        <is>
          <t>Stellen suchen</t>
        </is>
      </c>
      <c r="Y29" s="68" t="inlineStr">
        <is>
          <t>https://www.buhlergroup.com/global/en/careers/jobs.html — nicht abrufbar ohne Rendern, JS</t>
        </is>
      </c>
    </row>
    <row r="30" ht="15" customHeight="1" s="57">
      <c r="A30" s="81" t="n">
        <v>29</v>
      </c>
      <c r="B30" s="82" t="inlineStr">
        <is>
          <t>3</t>
        </is>
      </c>
      <c r="C30" s="81" t="inlineStr">
        <is>
          <t>Straumann</t>
        </is>
      </c>
      <c r="D30" s="81" t="inlineStr">
        <is>
          <t>Basel</t>
        </is>
      </c>
      <c r="E30" s="81" t="inlineStr">
        <is>
          <t>BS</t>
        </is>
      </c>
      <c r="F30" s="83" t="inlineStr">
        <is>
          <t>Medtech/Dental</t>
        </is>
      </c>
      <c r="G30" s="83" t="inlineStr">
        <is>
          <t>Dentalimplantate, Prothetik, digitale Kieferorthopädie</t>
        </is>
      </c>
      <c r="H30" s="84" t="n">
        <v>2605</v>
      </c>
      <c r="I30" s="81" t="inlineStr">
        <is>
          <t>CHF</t>
        </is>
      </c>
      <c r="J30" s="84">
        <f>IF(H30="","",H30*IF(I30="CHF",1,IF(I30="EUR",'Legende &amp; Kriterien'!$C$13,'Legende &amp; Kriterien'!$C$14)))</f>
        <v/>
      </c>
      <c r="K30" s="81">
        <f>IF(P30="Rohstoffhandel","— Handel —",IF(J30="","k.A.",IF(J30&gt;=5000,"A: &gt;5 Mrd.",IF(J30&gt;=3000,"B: 3-5 Mrd.",IF(J30&gt;=1000,"C: 1-3 Mrd.","D: 0.1-1 Mrd.")))))</f>
        <v/>
      </c>
      <c r="L30" s="81" t="inlineStr">
        <is>
          <t>2025</t>
        </is>
      </c>
      <c r="M30" s="84" t="n">
        <v>11800</v>
      </c>
      <c r="N30" s="83" t="inlineStr">
        <is>
          <t>SIX: STMN</t>
        </is>
      </c>
      <c r="O30" s="81" t="inlineStr">
        <is>
          <t>publiziert</t>
        </is>
      </c>
      <c r="P30" s="81" t="inlineStr">
        <is>
          <t>im Band</t>
        </is>
      </c>
      <c r="Q30" s="83" t="n"/>
      <c r="R30" s="63" t="n"/>
      <c r="S30" s="63" t="n"/>
      <c r="T30" s="63" t="n"/>
      <c r="U30" s="64" t="n"/>
      <c r="V30" s="85" t="inlineStr">
        <is>
          <t>https://stockanalysis.com/quote/swx/STMN/financials/</t>
        </is>
      </c>
      <c r="W30" s="81" t="inlineStr">
        <is>
          <t>Straumann</t>
        </is>
      </c>
      <c r="X30" s="86" t="inlineStr">
        <is>
          <t>Stellen suchen</t>
        </is>
      </c>
    </row>
    <row r="31" ht="23.25" customHeight="1" s="57">
      <c r="A31" s="81" t="n">
        <v>30</v>
      </c>
      <c r="B31" s="82" t="inlineStr">
        <is>
          <t>3</t>
        </is>
      </c>
      <c r="C31" s="81" t="inlineStr">
        <is>
          <t>Franke Group (Artemis)</t>
        </is>
      </c>
      <c r="D31" s="81" t="inlineStr">
        <is>
          <t>Aarburg</t>
        </is>
      </c>
      <c r="E31" s="81" t="inlineStr">
        <is>
          <t>AG</t>
        </is>
      </c>
      <c r="F31" s="83" t="inlineStr">
        <is>
          <t>Gebäudetechnik/Foodservice</t>
        </is>
      </c>
      <c r="G31" s="83" t="inlineStr">
        <is>
          <t>Küchensysteme, Grossküchentechnik, professionelle Kaffeemaschinen</t>
        </is>
      </c>
      <c r="H31" s="84" t="n">
        <v>2420</v>
      </c>
      <c r="I31" s="81" t="inlineStr">
        <is>
          <t>CHF</t>
        </is>
      </c>
      <c r="J31" s="84">
        <f>IF(H31="","",H31*IF(I31="CHF",1,IF(I31="EUR",'Legende &amp; Kriterien'!$C$13,'Legende &amp; Kriterien'!$C$14)))</f>
        <v/>
      </c>
      <c r="K31" s="81">
        <f>IF(P31="Rohstoffhandel","— Handel —",IF(J31="","k.A.",IF(J31&gt;=5000,"A: &gt;5 Mrd.",IF(J31&gt;=3000,"B: 3-5 Mrd.",IF(J31&gt;=1000,"C: 1-3 Mrd.","D: 0.1-1 Mrd.")))))</f>
        <v/>
      </c>
      <c r="L31" s="81" t="inlineStr">
        <is>
          <t>2023</t>
        </is>
      </c>
      <c r="M31" s="84" t="n">
        <v>8000</v>
      </c>
      <c r="N31" s="83" t="inlineStr">
        <is>
          <t>Familie Pieper (Artemis)</t>
        </is>
      </c>
      <c r="O31" s="81" t="inlineStr">
        <is>
          <t>veraltet</t>
        </is>
      </c>
      <c r="P31" s="81" t="inlineStr">
        <is>
          <t>im Band</t>
        </is>
      </c>
      <c r="Q31" s="83" t="inlineStr">
        <is>
          <t>Artemis-Gruppe gesamt CHF 2.88 Mrd. (2025)</t>
        </is>
      </c>
      <c r="R31" s="63" t="n"/>
      <c r="S31" s="63" t="n"/>
      <c r="T31" s="63" t="n"/>
      <c r="U31" s="64" t="n"/>
      <c r="V31" s="85" t="inlineStr">
        <is>
          <t>https://www.franke.com/de/de/gruppe/medien/2024/artemis-group-results-2024.html</t>
        </is>
      </c>
      <c r="W31" s="81" t="inlineStr">
        <is>
          <t>Franke</t>
        </is>
      </c>
      <c r="X31" s="86" t="inlineStr">
        <is>
          <t>Stellen suchen</t>
        </is>
      </c>
    </row>
    <row r="32" ht="15" customHeight="1" s="57">
      <c r="A32" s="81" t="n">
        <v>31</v>
      </c>
      <c r="B32" s="82" t="inlineStr">
        <is>
          <t>3</t>
        </is>
      </c>
      <c r="C32" s="81" t="inlineStr">
        <is>
          <t>Swiss Steel</t>
        </is>
      </c>
      <c r="D32" s="81" t="inlineStr">
        <is>
          <t>Emmenbrücke</t>
        </is>
      </c>
      <c r="E32" s="81" t="inlineStr">
        <is>
          <t>LU</t>
        </is>
      </c>
      <c r="F32" s="83" t="inlineStr">
        <is>
          <t>Stahl/Materialien</t>
        </is>
      </c>
      <c r="G32" s="83" t="inlineStr">
        <is>
          <t>Spezialstahl-Langprodukte, Werkzeugstahl, Blankstahl</t>
        </is>
      </c>
      <c r="H32" s="84" t="n">
        <v>2511</v>
      </c>
      <c r="I32" s="81" t="inlineStr">
        <is>
          <t>EUR</t>
        </is>
      </c>
      <c r="J32" s="84">
        <f>IF(H32="","",H32*IF(I32="CHF",1,IF(I32="EUR",'Legende &amp; Kriterien'!$C$13,'Legende &amp; Kriterien'!$C$14)))</f>
        <v/>
      </c>
      <c r="K32" s="81">
        <f>IF(P32="Rohstoffhandel","— Handel —",IF(J32="","k.A.",IF(J32&gt;=5000,"A: &gt;5 Mrd.",IF(J32&gt;=3000,"B: 3-5 Mrd.",IF(J32&gt;=1000,"C: 1-3 Mrd.","D: 0.1-1 Mrd.")))))</f>
        <v/>
      </c>
      <c r="L32" s="81" t="inlineStr">
        <is>
          <t>2024</t>
        </is>
      </c>
      <c r="M32" s="84" t="n">
        <v>7450</v>
      </c>
      <c r="N32" s="83" t="inlineStr">
        <is>
          <t>SIX: STLN</t>
        </is>
      </c>
      <c r="O32" s="81" t="inlineStr">
        <is>
          <t>veraltet</t>
        </is>
      </c>
      <c r="P32" s="81" t="inlineStr">
        <is>
          <t>im Band</t>
        </is>
      </c>
      <c r="Q32" s="83" t="inlineStr">
        <is>
          <t>GJ 2025 nicht bestätigt</t>
        </is>
      </c>
      <c r="R32" s="63" t="n"/>
      <c r="S32" s="63" t="n"/>
      <c r="T32" s="63" t="n"/>
      <c r="U32" s="64" t="n"/>
      <c r="V32" s="85" t="inlineStr">
        <is>
          <t>https://stockanalysis.com/quote/swx/STLN/revenue/</t>
        </is>
      </c>
      <c r="W32" s="81" t="inlineStr">
        <is>
          <t>Swiss Steel</t>
        </is>
      </c>
      <c r="X32" s="86" t="inlineStr">
        <is>
          <t>Stellen suchen</t>
        </is>
      </c>
    </row>
    <row r="33" ht="15" customHeight="1" s="57">
      <c r="A33" s="81" t="n">
        <v>32</v>
      </c>
      <c r="B33" s="82" t="inlineStr">
        <is>
          <t>3</t>
        </is>
      </c>
      <c r="C33" s="81" t="inlineStr">
        <is>
          <t>Autoneum</t>
        </is>
      </c>
      <c r="D33" s="81" t="inlineStr">
        <is>
          <t>Winterthur</t>
        </is>
      </c>
      <c r="E33" s="81" t="inlineStr">
        <is>
          <t>ZH</t>
        </is>
      </c>
      <c r="F33" s="83" t="inlineStr">
        <is>
          <t>Automobilkomponenten</t>
        </is>
      </c>
      <c r="G33" s="83" t="inlineStr">
        <is>
          <t>Akustik- und Wärmedämmkomponenten für Fahrzeuge</t>
        </is>
      </c>
      <c r="H33" s="84" t="n">
        <v>2291</v>
      </c>
      <c r="I33" s="81" t="inlineStr">
        <is>
          <t>CHF</t>
        </is>
      </c>
      <c r="J33" s="84">
        <f>IF(H33="","",H33*IF(I33="CHF",1,IF(I33="EUR",'Legende &amp; Kriterien'!$C$13,'Legende &amp; Kriterien'!$C$14)))</f>
        <v/>
      </c>
      <c r="K33" s="81">
        <f>IF(P33="Rohstoffhandel","— Handel —",IF(J33="","k.A.",IF(J33&gt;=5000,"A: &gt;5 Mrd.",IF(J33&gt;=3000,"B: 3-5 Mrd.",IF(J33&gt;=1000,"C: 1-3 Mrd.","D: 0.1-1 Mrd.")))))</f>
        <v/>
      </c>
      <c r="L33" s="81" t="inlineStr">
        <is>
          <t>2025</t>
        </is>
      </c>
      <c r="M33" s="84" t="n">
        <v>16100</v>
      </c>
      <c r="N33" s="83" t="inlineStr">
        <is>
          <t>SIX: AUTN</t>
        </is>
      </c>
      <c r="O33" s="81" t="inlineStr">
        <is>
          <t>publiziert</t>
        </is>
      </c>
      <c r="P33" s="81" t="inlineStr">
        <is>
          <t>im Band</t>
        </is>
      </c>
      <c r="Q33" s="83" t="n"/>
      <c r="R33" s="63" t="n"/>
      <c r="S33" s="63" t="n"/>
      <c r="T33" s="63" t="n"/>
      <c r="U33" s="64" t="n"/>
      <c r="V33" s="85" t="inlineStr">
        <is>
          <t>https://stockanalysis.com/quote/swx/AUTN/financials/</t>
        </is>
      </c>
      <c r="W33" s="81" t="inlineStr">
        <is>
          <t>Autoneum</t>
        </is>
      </c>
      <c r="X33" s="86" t="inlineStr">
        <is>
          <t>Stellen suchen</t>
        </is>
      </c>
    </row>
    <row r="34" ht="15" customHeight="1" s="57">
      <c r="A34" s="81" t="n">
        <v>33</v>
      </c>
      <c r="B34" s="82" t="inlineStr">
        <is>
          <t>3</t>
        </is>
      </c>
      <c r="C34" s="81" t="inlineStr">
        <is>
          <t>EMS-CHEMIE</t>
        </is>
      </c>
      <c r="D34" s="81" t="inlineStr">
        <is>
          <t>Domat/Ems</t>
        </is>
      </c>
      <c r="E34" s="81" t="inlineStr">
        <is>
          <t>GR</t>
        </is>
      </c>
      <c r="F34" s="83" t="inlineStr">
        <is>
          <t>Materialien</t>
        </is>
      </c>
      <c r="G34" s="83" t="inlineStr">
        <is>
          <t>Hochleistungspolymere und Polyamide für Leichtbauteile</t>
        </is>
      </c>
      <c r="H34" s="84" t="n">
        <v>1969</v>
      </c>
      <c r="I34" s="81" t="inlineStr">
        <is>
          <t>CHF</t>
        </is>
      </c>
      <c r="J34" s="84">
        <f>IF(H34="","",H34*IF(I34="CHF",1,IF(I34="EUR",'Legende &amp; Kriterien'!$C$13,'Legende &amp; Kriterien'!$C$14)))</f>
        <v/>
      </c>
      <c r="K34" s="81">
        <f>IF(P34="Rohstoffhandel","— Handel —",IF(J34="","k.A.",IF(J34&gt;=5000,"A: &gt;5 Mrd.",IF(J34&gt;=3000,"B: 3-5 Mrd.",IF(J34&gt;=1000,"C: 1-3 Mrd.","D: 0.1-1 Mrd.")))))</f>
        <v/>
      </c>
      <c r="L34" s="81" t="inlineStr">
        <is>
          <t>2025</t>
        </is>
      </c>
      <c r="M34" s="84" t="n">
        <v>2660</v>
      </c>
      <c r="N34" s="83" t="inlineStr">
        <is>
          <t>SIX: EMSN</t>
        </is>
      </c>
      <c r="O34" s="81" t="inlineStr">
        <is>
          <t>publiziert</t>
        </is>
      </c>
      <c r="P34" s="81" t="inlineStr">
        <is>
          <t>im Band</t>
        </is>
      </c>
      <c r="Q34" s="83" t="n"/>
      <c r="R34" s="63" t="n"/>
      <c r="S34" s="63" t="n"/>
      <c r="T34" s="63" t="n"/>
      <c r="U34" s="64" t="n"/>
      <c r="V34" s="85" t="inlineStr">
        <is>
          <t>https://stockanalysis.com/quote/swx/EMSN/financials/</t>
        </is>
      </c>
      <c r="W34" s="81" t="inlineStr">
        <is>
          <t>EMS-CHEMIE</t>
        </is>
      </c>
      <c r="X34" s="86" t="inlineStr">
        <is>
          <t>Stellen suchen</t>
        </is>
      </c>
    </row>
    <row r="35" ht="15" customHeight="1" s="57">
      <c r="A35" s="81" t="n">
        <v>34</v>
      </c>
      <c r="B35" s="82" t="inlineStr">
        <is>
          <t>3</t>
        </is>
      </c>
      <c r="C35" s="81" t="inlineStr">
        <is>
          <t>Bobst Group</t>
        </is>
      </c>
      <c r="D35" s="81" t="inlineStr">
        <is>
          <t>Mex</t>
        </is>
      </c>
      <c r="E35" s="81" t="inlineStr">
        <is>
          <t>VD</t>
        </is>
      </c>
      <c r="F35" s="83" t="inlineStr">
        <is>
          <t>Verpackungsmaschinen</t>
        </is>
      </c>
      <c r="G35" s="83" t="inlineStr">
        <is>
          <t>Maschinen für Faltschachtel-, Wellpappe- und Etikettendruck</t>
        </is>
      </c>
      <c r="H35" s="84" t="n">
        <v>1800</v>
      </c>
      <c r="I35" s="81" t="inlineStr">
        <is>
          <t>CHF</t>
        </is>
      </c>
      <c r="J35" s="84">
        <f>IF(H35="","",H35*IF(I35="CHF",1,IF(I35="EUR",'Legende &amp; Kriterien'!$C$13,'Legende &amp; Kriterien'!$C$14)))</f>
        <v/>
      </c>
      <c r="K35" s="81">
        <f>IF(P35="Rohstoffhandel","— Handel —",IF(J35="","k.A.",IF(J35&gt;=5000,"A: &gt;5 Mrd.",IF(J35&gt;=3000,"B: 3-5 Mrd.",IF(J35&gt;=1000,"C: 1-3 Mrd.","D: 0.1-1 Mrd.")))))</f>
        <v/>
      </c>
      <c r="L35" s="81" t="inlineStr">
        <is>
          <t>2024</t>
        </is>
      </c>
      <c r="M35" s="84" t="n">
        <v>6000</v>
      </c>
      <c r="N35" s="83" t="inlineStr">
        <is>
          <t>Privat (Familie Bobst)</t>
        </is>
      </c>
      <c r="O35" s="81" t="inlineStr">
        <is>
          <t>geschätzt</t>
        </is>
      </c>
      <c r="P35" s="81" t="inlineStr">
        <is>
          <t>im Band</t>
        </is>
      </c>
      <c r="Q35" s="83" t="inlineStr">
        <is>
          <t>Dez. 2022 von der SIX dekotiert</t>
        </is>
      </c>
      <c r="R35" s="63" t="n"/>
      <c r="S35" s="63" t="n"/>
      <c r="T35" s="63" t="n"/>
      <c r="U35" s="64" t="n"/>
      <c r="V35" s="85" t="inlineStr">
        <is>
          <t>https://www.bobst.com/</t>
        </is>
      </c>
      <c r="W35" s="81" t="inlineStr">
        <is>
          <t>Bobst Group</t>
        </is>
      </c>
      <c r="X35" s="86" t="inlineStr">
        <is>
          <t>Stellen suchen</t>
        </is>
      </c>
    </row>
    <row r="36" ht="15" customHeight="1" s="57">
      <c r="A36" s="81" t="n">
        <v>35</v>
      </c>
      <c r="B36" s="82" t="inlineStr">
        <is>
          <t>3</t>
        </is>
      </c>
      <c r="C36" s="81" t="inlineStr">
        <is>
          <t>Pilatus Flugzeugwerke</t>
        </is>
      </c>
      <c r="D36" s="81" t="inlineStr">
        <is>
          <t>Stans</t>
        </is>
      </c>
      <c r="E36" s="81" t="inlineStr">
        <is>
          <t>NW</t>
        </is>
      </c>
      <c r="F36" s="83" t="inlineStr">
        <is>
          <t>Luftfahrt</t>
        </is>
      </c>
      <c r="G36" s="83" t="inlineStr">
        <is>
          <t>Trainings- und Geschäftsflugzeuge PC-12, PC-24, PC-21</t>
        </is>
      </c>
      <c r="H36" s="84" t="n">
        <v>1672</v>
      </c>
      <c r="I36" s="81" t="inlineStr">
        <is>
          <t>CHF</t>
        </is>
      </c>
      <c r="J36" s="84">
        <f>IF(H36="","",H36*IF(I36="CHF",1,IF(I36="EUR",'Legende &amp; Kriterien'!$C$13,'Legende &amp; Kriterien'!$C$14)))</f>
        <v/>
      </c>
      <c r="K36" s="81">
        <f>IF(P36="Rohstoffhandel","— Handel —",IF(J36="","k.A.",IF(J36&gt;=5000,"A: &gt;5 Mrd.",IF(J36&gt;=3000,"B: 3-5 Mrd.",IF(J36&gt;=1000,"C: 1-3 Mrd.","D: 0.1-1 Mrd.")))))</f>
        <v/>
      </c>
      <c r="L36" s="81" t="inlineStr">
        <is>
          <t>2025</t>
        </is>
      </c>
      <c r="M36" s="84" t="n">
        <v>3678</v>
      </c>
      <c r="N36" s="83" t="inlineStr">
        <is>
          <t>Privat, CH-Aktionariat</t>
        </is>
      </c>
      <c r="O36" s="81" t="inlineStr">
        <is>
          <t>publiziert</t>
        </is>
      </c>
      <c r="P36" s="81" t="inlineStr">
        <is>
          <t>im Band</t>
        </is>
      </c>
      <c r="Q36" s="83" t="n"/>
      <c r="R36" s="63" t="n"/>
      <c r="S36" s="63" t="n"/>
      <c r="T36" s="63" t="n"/>
      <c r="U36" s="64" t="n"/>
      <c r="V36" s="85" t="inlineStr">
        <is>
          <t>https://www.pilatus-aircraft.com/assets/files/PDF/GB-2025/Pilatus-Geschaeftsbericht-2025.pdf</t>
        </is>
      </c>
      <c r="W36" s="81" t="inlineStr">
        <is>
          <t>Pilatus</t>
        </is>
      </c>
      <c r="X36" s="86" t="inlineStr">
        <is>
          <t>Stellen suchen</t>
        </is>
      </c>
    </row>
    <row r="37" ht="15" customHeight="1" s="57">
      <c r="A37" s="59" t="n">
        <v>36</v>
      </c>
      <c r="B37" s="60" t="inlineStr">
        <is>
          <t>1</t>
        </is>
      </c>
      <c r="C37" s="59" t="inlineStr">
        <is>
          <t>Stäubli International</t>
        </is>
      </c>
      <c r="D37" s="59" t="inlineStr">
        <is>
          <t>Pfäffikon SZ</t>
        </is>
      </c>
      <c r="E37" s="59" t="inlineStr">
        <is>
          <t>SZ</t>
        </is>
      </c>
      <c r="F37" s="61" t="inlineStr">
        <is>
          <t>Automation/Robotik</t>
        </is>
      </c>
      <c r="G37" s="61" t="inlineStr">
        <is>
          <t>Industrieroboter, Schnellkupplungen, Steckverbinder, Webmaschinen</t>
        </is>
      </c>
      <c r="H37" s="62" t="n">
        <v>1600</v>
      </c>
      <c r="I37" s="59" t="inlineStr">
        <is>
          <t>CHF</t>
        </is>
      </c>
      <c r="J37" s="62">
        <f>IF(H37="","",H37*IF(I37="CHF",1,IF(I37="EUR",'Legende &amp; Kriterien'!$C$13,'Legende &amp; Kriterien'!$C$14)))</f>
        <v/>
      </c>
      <c r="K37" s="59">
        <f>IF(P37="Rohstoffhandel","— Handel —",IF(J37="","k.A.",IF(J37&gt;=5000,"A: &gt;5 Mrd.",IF(J37&gt;=3000,"B: 3-5 Mrd.",IF(J37&gt;=1000,"C: 1-3 Mrd.","D: 0.1-1 Mrd.")))))</f>
        <v/>
      </c>
      <c r="L37" s="59" t="inlineStr">
        <is>
          <t>2024</t>
        </is>
      </c>
      <c r="M37" s="62" t="n">
        <v>6000</v>
      </c>
      <c r="N37" s="61" t="inlineStr">
        <is>
          <t>Privat (Familienbesitz)</t>
        </is>
      </c>
      <c r="O37" s="59" t="inlineStr">
        <is>
          <t>geschätzt</t>
        </is>
      </c>
      <c r="P37" s="59" t="inlineStr">
        <is>
          <t>im Band</t>
        </is>
      </c>
      <c r="Q37" s="61" t="inlineStr">
        <is>
          <t>Publiziert keine Zahlen</t>
        </is>
      </c>
      <c r="R37" s="63" t="n"/>
      <c r="S37" s="63" t="n"/>
      <c r="T37" s="63" t="n"/>
      <c r="U37" s="64" t="n"/>
      <c r="V37" s="65" t="inlineStr">
        <is>
          <t>https://www.staubli.com/ch/de/home.html</t>
        </is>
      </c>
      <c r="W37" s="59" t="inlineStr">
        <is>
          <t>Stäubli</t>
        </is>
      </c>
      <c r="X37" s="66" t="inlineStr">
        <is>
          <t>Stellen suchen</t>
        </is>
      </c>
      <c r="Y37" s="67" t="inlineStr">
        <is>
          <t>https://careers.smartrecruiters.com/staubligroup</t>
        </is>
      </c>
    </row>
    <row r="38" ht="15" customHeight="1" s="57">
      <c r="A38" s="81" t="n">
        <v>37</v>
      </c>
      <c r="B38" s="82" t="inlineStr">
        <is>
          <t>3</t>
        </is>
      </c>
      <c r="C38" s="81" t="inlineStr">
        <is>
          <t>OC Oerlikon</t>
        </is>
      </c>
      <c r="D38" s="81" t="inlineStr">
        <is>
          <t>Pfäffikon SZ</t>
        </is>
      </c>
      <c r="E38" s="81" t="inlineStr">
        <is>
          <t>SZ</t>
        </is>
      </c>
      <c r="F38" s="83" t="inlineStr">
        <is>
          <t>Materialien/Maschinenbau</t>
        </is>
      </c>
      <c r="G38" s="83" t="inlineStr">
        <is>
          <t>Oberflächenbeschichtungen, Polymerverarbeitungsanlagen</t>
        </is>
      </c>
      <c r="H38" s="84" t="n">
        <v>1568</v>
      </c>
      <c r="I38" s="81" t="inlineStr">
        <is>
          <t>CHF</t>
        </is>
      </c>
      <c r="J38" s="84">
        <f>IF(H38="","",H38*IF(I38="CHF",1,IF(I38="EUR",'Legende &amp; Kriterien'!$C$13,'Legende &amp; Kriterien'!$C$14)))</f>
        <v/>
      </c>
      <c r="K38" s="81">
        <f>IF(P38="Rohstoffhandel","— Handel —",IF(J38="","k.A.",IF(J38&gt;=5000,"A: &gt;5 Mrd.",IF(J38&gt;=3000,"B: 3-5 Mrd.",IF(J38&gt;=1000,"C: 1-3 Mrd.","D: 0.1-1 Mrd.")))))</f>
        <v/>
      </c>
      <c r="L38" s="81" t="inlineStr">
        <is>
          <t>2025</t>
        </is>
      </c>
      <c r="M38" s="84" t="n">
        <v>9290</v>
      </c>
      <c r="N38" s="83" t="inlineStr">
        <is>
          <t>SIX: OERL</t>
        </is>
      </c>
      <c r="O38" s="81" t="inlineStr">
        <is>
          <t>publiziert</t>
        </is>
      </c>
      <c r="P38" s="81" t="inlineStr">
        <is>
          <t>im Band</t>
        </is>
      </c>
      <c r="Q38" s="83" t="n"/>
      <c r="R38" s="63" t="n"/>
      <c r="S38" s="63" t="n"/>
      <c r="T38" s="63" t="n"/>
      <c r="U38" s="64" t="n"/>
      <c r="V38" s="85" t="inlineStr">
        <is>
          <t>https://stockanalysis.com/quote/swx/OERL/financials/</t>
        </is>
      </c>
      <c r="W38" s="81" t="inlineStr">
        <is>
          <t>OC Oerlikon</t>
        </is>
      </c>
      <c r="X38" s="86" t="inlineStr">
        <is>
          <t>Stellen suchen</t>
        </is>
      </c>
    </row>
    <row r="39" ht="15" customHeight="1" s="57">
      <c r="A39" s="81" t="n">
        <v>38</v>
      </c>
      <c r="B39" s="82" t="inlineStr">
        <is>
          <t>3</t>
        </is>
      </c>
      <c r="C39" s="81" t="inlineStr">
        <is>
          <t>Aebi Schmidt Group</t>
        </is>
      </c>
      <c r="D39" s="81" t="inlineStr">
        <is>
          <t>Frauenfeld</t>
        </is>
      </c>
      <c r="E39" s="81" t="inlineStr">
        <is>
          <t>TG</t>
        </is>
      </c>
      <c r="F39" s="83" t="inlineStr">
        <is>
          <t>Spezialfahrzeuge</t>
        </is>
      </c>
      <c r="G39" s="83" t="inlineStr">
        <is>
          <t>Winterdienst-, Kehr- und Spezialfahrzeuge, Nutzfahrzeugaufbauten</t>
        </is>
      </c>
      <c r="H39" s="84" t="n">
        <v>1900</v>
      </c>
      <c r="I39" s="81" t="inlineStr">
        <is>
          <t>USD</t>
        </is>
      </c>
      <c r="J39" s="84">
        <f>IF(H39="","",H39*IF(I39="CHF",1,IF(I39="EUR",'Legende &amp; Kriterien'!$C$13,'Legende &amp; Kriterien'!$C$14)))</f>
        <v/>
      </c>
      <c r="K39" s="81">
        <f>IF(P39="Rohstoffhandel","— Handel —",IF(J39="","k.A.",IF(J39&gt;=5000,"A: &gt;5 Mrd.",IF(J39&gt;=3000,"B: 3-5 Mrd.",IF(J39&gt;=1000,"C: 1-3 Mrd.","D: 0.1-1 Mrd.")))))</f>
        <v/>
      </c>
      <c r="L39" s="81" t="inlineStr">
        <is>
          <t>2025</t>
        </is>
      </c>
      <c r="M39" s="84" t="n">
        <v>6000</v>
      </c>
      <c r="N39" s="83" t="inlineStr">
        <is>
          <t>Nasdaq: AEBI (seit 07/2025)</t>
        </is>
      </c>
      <c r="O39" s="81" t="inlineStr">
        <is>
          <t>publiziert</t>
        </is>
      </c>
      <c r="P39" s="81" t="inlineStr">
        <is>
          <t>im Band</t>
        </is>
      </c>
      <c r="Q39" s="83" t="inlineStr">
        <is>
          <t>Fusion mit The Shyft Group 2025; CH-Sitz bestätigt</t>
        </is>
      </c>
      <c r="R39" s="63" t="n"/>
      <c r="S39" s="63" t="n"/>
      <c r="T39" s="63" t="n"/>
      <c r="U39" s="64" t="n"/>
      <c r="V39" s="85" t="inlineStr">
        <is>
          <t>https://www.aebi-schmidt.com/en/investors</t>
        </is>
      </c>
      <c r="W39" s="81" t="inlineStr">
        <is>
          <t>Aebi Schmidt</t>
        </is>
      </c>
      <c r="X39" s="86" t="inlineStr">
        <is>
          <t>Stellen suchen</t>
        </is>
      </c>
    </row>
    <row r="40" ht="23.25" customHeight="1" s="57">
      <c r="A40" s="81" t="n">
        <v>39</v>
      </c>
      <c r="B40" s="82" t="inlineStr">
        <is>
          <t>2</t>
        </is>
      </c>
      <c r="C40" s="81" t="inlineStr">
        <is>
          <t>UNITED GRINDING Group</t>
        </is>
      </c>
      <c r="D40" s="81" t="inlineStr">
        <is>
          <t>Bern</t>
        </is>
      </c>
      <c r="E40" s="81" t="inlineStr">
        <is>
          <t>BE</t>
        </is>
      </c>
      <c r="F40" s="83" t="inlineStr">
        <is>
          <t>Werkzeugmaschinen</t>
        </is>
      </c>
      <c r="G40" s="83" t="inlineStr">
        <is>
          <t>Schleif-, Erodier- und Lasermaschinen (Studer, Walter, Blohm, GFMS)</t>
        </is>
      </c>
      <c r="H40" s="84" t="n">
        <v>1500</v>
      </c>
      <c r="I40" s="81" t="inlineStr">
        <is>
          <t>CHF</t>
        </is>
      </c>
      <c r="J40" s="84">
        <f>IF(H40="","",H40*IF(I40="CHF",1,IF(I40="EUR",'Legende &amp; Kriterien'!$C$13,'Legende &amp; Kriterien'!$C$14)))</f>
        <v/>
      </c>
      <c r="K40" s="81">
        <f>IF(P40="Rohstoffhandel","— Handel —",IF(J40="","k.A.",IF(J40&gt;=5000,"A: &gt;5 Mrd.",IF(J40&gt;=3000,"B: 3-5 Mrd.",IF(J40&gt;=1000,"C: 1-3 Mrd.","D: 0.1-1 Mrd.")))))</f>
        <v/>
      </c>
      <c r="L40" s="81" t="inlineStr">
        <is>
          <t>2025</t>
        </is>
      </c>
      <c r="M40" s="84" t="n">
        <v>4000</v>
      </c>
      <c r="N40" s="83" t="inlineStr">
        <is>
          <t>Patinex AG (M. Ebner)</t>
        </is>
      </c>
      <c r="O40" s="81" t="inlineStr">
        <is>
          <t>geschätzt</t>
        </is>
      </c>
      <c r="P40" s="81" t="inlineStr">
        <is>
          <t>im Band</t>
        </is>
      </c>
      <c r="Q40" s="83" t="inlineStr">
        <is>
          <t>GF Machining Solutions per 30.06.2025 übernommen</t>
        </is>
      </c>
      <c r="R40" s="63" t="n"/>
      <c r="S40" s="63" t="n"/>
      <c r="T40" s="63" t="n"/>
      <c r="U40" s="64" t="n"/>
      <c r="V40" s="85" t="inlineStr">
        <is>
          <t>https://www.grinding.ch/</t>
        </is>
      </c>
      <c r="W40" s="81" t="inlineStr">
        <is>
          <t>United Grinding</t>
        </is>
      </c>
      <c r="X40" s="86" t="inlineStr">
        <is>
          <t>Stellen suchen</t>
        </is>
      </c>
    </row>
    <row r="41" ht="15" customHeight="1" s="57">
      <c r="A41" s="81" t="n">
        <v>40</v>
      </c>
      <c r="B41" s="82" t="inlineStr">
        <is>
          <t>2</t>
        </is>
      </c>
      <c r="C41" s="81" t="inlineStr">
        <is>
          <t>Ammann Group</t>
        </is>
      </c>
      <c r="D41" s="81" t="inlineStr">
        <is>
          <t>Langenthal</t>
        </is>
      </c>
      <c r="E41" s="81" t="inlineStr">
        <is>
          <t>BE</t>
        </is>
      </c>
      <c r="F41" s="83" t="inlineStr">
        <is>
          <t>Baumaschinen</t>
        </is>
      </c>
      <c r="G41" s="83" t="inlineStr">
        <is>
          <t>Asphaltmischanlagen, Verdichtungs- und Strassenbaumaschinen</t>
        </is>
      </c>
      <c r="H41" s="84" t="n">
        <v>1200</v>
      </c>
      <c r="I41" s="81" t="inlineStr">
        <is>
          <t>EUR</t>
        </is>
      </c>
      <c r="J41" s="84">
        <f>IF(H41="","",H41*IF(I41="CHF",1,IF(I41="EUR",'Legende &amp; Kriterien'!$C$13,'Legende &amp; Kriterien'!$C$14)))</f>
        <v/>
      </c>
      <c r="K41" s="81">
        <f>IF(P41="Rohstoffhandel","— Handel —",IF(J41="","k.A.",IF(J41&gt;=5000,"A: &gt;5 Mrd.",IF(J41&gt;=3000,"B: 3-5 Mrd.",IF(J41&gt;=1000,"C: 1-3 Mrd.","D: 0.1-1 Mrd.")))))</f>
        <v/>
      </c>
      <c r="L41" s="81" t="inlineStr">
        <is>
          <t>2024</t>
        </is>
      </c>
      <c r="M41" s="84" t="n">
        <v>3600</v>
      </c>
      <c r="N41" s="83" t="inlineStr">
        <is>
          <t>Familie Ammann (100%)</t>
        </is>
      </c>
      <c r="O41" s="81" t="inlineStr">
        <is>
          <t>geschätzt</t>
        </is>
      </c>
      <c r="P41" s="81" t="inlineStr">
        <is>
          <t>im Band</t>
        </is>
      </c>
      <c r="Q41" s="83" t="n"/>
      <c r="R41" s="63" t="n"/>
      <c r="S41" s="63" t="n"/>
      <c r="T41" s="63" t="n"/>
      <c r="U41" s="64" t="n"/>
      <c r="V41" s="85" t="inlineStr">
        <is>
          <t>https://www.weltmarktfuehrerindex.de/profil/ammann</t>
        </is>
      </c>
      <c r="W41" s="81" t="inlineStr">
        <is>
          <t>Ammann</t>
        </is>
      </c>
      <c r="X41" s="86" t="inlineStr">
        <is>
          <t>Stellen suchen</t>
        </is>
      </c>
    </row>
    <row r="42" ht="15" customHeight="1" s="57">
      <c r="A42" s="59" t="n">
        <v>41</v>
      </c>
      <c r="B42" s="60" t="inlineStr">
        <is>
          <t>1</t>
        </is>
      </c>
      <c r="C42" s="59" t="inlineStr">
        <is>
          <t>Belimo</t>
        </is>
      </c>
      <c r="D42" s="59" t="inlineStr">
        <is>
          <t>Hinwil</t>
        </is>
      </c>
      <c r="E42" s="59" t="inlineStr">
        <is>
          <t>ZH</t>
        </is>
      </c>
      <c r="F42" s="61" t="inlineStr">
        <is>
          <t>Bautechnik/HLK</t>
        </is>
      </c>
      <c r="G42" s="61" t="inlineStr">
        <is>
          <t>Stellantriebe, Ventile und Sensoren für HLK</t>
        </is>
      </c>
      <c r="H42" s="62" t="n">
        <v>1121</v>
      </c>
      <c r="I42" s="59" t="inlineStr">
        <is>
          <t>CHF</t>
        </is>
      </c>
      <c r="J42" s="62">
        <f>IF(H42="","",H42*IF(I42="CHF",1,IF(I42="EUR",'Legende &amp; Kriterien'!$C$13,'Legende &amp; Kriterien'!$C$14)))</f>
        <v/>
      </c>
      <c r="K42" s="59">
        <f>IF(P42="Rohstoffhandel","— Handel —",IF(J42="","k.A.",IF(J42&gt;=5000,"A: &gt;5 Mrd.",IF(J42&gt;=3000,"B: 3-5 Mrd.",IF(J42&gt;=1000,"C: 1-3 Mrd.","D: 0.1-1 Mrd.")))))</f>
        <v/>
      </c>
      <c r="L42" s="59" t="inlineStr">
        <is>
          <t>2025</t>
        </is>
      </c>
      <c r="M42" s="62" t="n">
        <v>2700</v>
      </c>
      <c r="N42" s="61" t="inlineStr">
        <is>
          <t>SIX: BEAN</t>
        </is>
      </c>
      <c r="O42" s="59" t="inlineStr">
        <is>
          <t>publiziert</t>
        </is>
      </c>
      <c r="P42" s="59" t="inlineStr">
        <is>
          <t>im Band</t>
        </is>
      </c>
      <c r="Q42" s="61" t="n"/>
      <c r="R42" s="63" t="n"/>
      <c r="S42" s="63" t="n"/>
      <c r="T42" s="63" t="n"/>
      <c r="U42" s="64" t="n"/>
      <c r="V42" s="65" t="inlineStr">
        <is>
          <t>https://www.belimo.com/ch/de_CH/about-belimo/investor-relations</t>
        </is>
      </c>
      <c r="W42" s="59" t="inlineStr">
        <is>
          <t>Belimo</t>
        </is>
      </c>
      <c r="X42" s="66" t="inlineStr">
        <is>
          <t>Stellen suchen</t>
        </is>
      </c>
      <c r="Y42" s="67" t="inlineStr">
        <is>
          <t>https://www.jobs.ch/en/companies/16954-belimo-automation-ag/</t>
        </is>
      </c>
    </row>
    <row r="43" ht="15" customHeight="1" s="57">
      <c r="A43" s="59" t="n">
        <v>42</v>
      </c>
      <c r="B43" s="60" t="inlineStr">
        <is>
          <t>1</t>
        </is>
      </c>
      <c r="C43" s="59" t="inlineStr">
        <is>
          <t>Dätwyler</t>
        </is>
      </c>
      <c r="D43" s="59" t="inlineStr">
        <is>
          <t>Altdorf</t>
        </is>
      </c>
      <c r="E43" s="59" t="inlineStr">
        <is>
          <t>UR</t>
        </is>
      </c>
      <c r="F43" s="61" t="inlineStr">
        <is>
          <t>Komponenten/Materialien</t>
        </is>
      </c>
      <c r="G43" s="61" t="inlineStr">
        <is>
          <t>Elastomer-Dichtungen für Healthcare, Mobilität, Konsumgüter</t>
        </is>
      </c>
      <c r="H43" s="62" t="n">
        <v>1101</v>
      </c>
      <c r="I43" s="59" t="inlineStr">
        <is>
          <t>CHF</t>
        </is>
      </c>
      <c r="J43" s="62">
        <f>IF(H43="","",H43*IF(I43="CHF",1,IF(I43="EUR",'Legende &amp; Kriterien'!$C$13,'Legende &amp; Kriterien'!$C$14)))</f>
        <v/>
      </c>
      <c r="K43" s="59">
        <f>IF(P43="Rohstoffhandel","— Handel —",IF(J43="","k.A.",IF(J43&gt;=5000,"A: &gt;5 Mrd.",IF(J43&gt;=3000,"B: 3-5 Mrd.",IF(J43&gt;=1000,"C: 1-3 Mrd.","D: 0.1-1 Mrd.")))))</f>
        <v/>
      </c>
      <c r="L43" s="59" t="inlineStr">
        <is>
          <t>2025</t>
        </is>
      </c>
      <c r="M43" s="62" t="n">
        <v>7800</v>
      </c>
      <c r="N43" s="61" t="inlineStr">
        <is>
          <t>SIX: DAE</t>
        </is>
      </c>
      <c r="O43" s="59" t="inlineStr">
        <is>
          <t>publiziert</t>
        </is>
      </c>
      <c r="P43" s="59" t="inlineStr">
        <is>
          <t>im Band</t>
        </is>
      </c>
      <c r="Q43" s="61" t="n"/>
      <c r="R43" s="63" t="n"/>
      <c r="S43" s="63" t="n"/>
      <c r="T43" s="63" t="n"/>
      <c r="U43" s="64" t="n"/>
      <c r="V43" s="65" t="inlineStr">
        <is>
          <t>https://stockanalysis.com/quote/swx/DAE/financials/</t>
        </is>
      </c>
      <c r="W43" s="59" t="inlineStr">
        <is>
          <t>Dätwyler</t>
        </is>
      </c>
      <c r="X43" s="66" t="inlineStr">
        <is>
          <t>Stellen suchen</t>
        </is>
      </c>
      <c r="Y43" s="67" t="inlineStr">
        <is>
          <t>https://careers.datwyler.com/search/</t>
        </is>
      </c>
    </row>
    <row r="44" ht="15" customHeight="1" s="57">
      <c r="A44" s="81" t="n">
        <v>43</v>
      </c>
      <c r="B44" s="82" t="inlineStr">
        <is>
          <t>2</t>
        </is>
      </c>
      <c r="C44" s="81" t="inlineStr">
        <is>
          <t>Forbo</t>
        </is>
      </c>
      <c r="D44" s="81" t="inlineStr">
        <is>
          <t>Baar</t>
        </is>
      </c>
      <c r="E44" s="81" t="inlineStr">
        <is>
          <t>ZG</t>
        </is>
      </c>
      <c r="F44" s="83" t="inlineStr">
        <is>
          <t>Materialien/Bautechnik</t>
        </is>
      </c>
      <c r="G44" s="83" t="inlineStr">
        <is>
          <t>Bodenbeläge sowie Antriebs- und Transportbänder</t>
        </is>
      </c>
      <c r="H44" s="84" t="n">
        <v>1085</v>
      </c>
      <c r="I44" s="81" t="inlineStr">
        <is>
          <t>CHF</t>
        </is>
      </c>
      <c r="J44" s="84">
        <f>IF(H44="","",H44*IF(I44="CHF",1,IF(I44="EUR",'Legende &amp; Kriterien'!$C$13,'Legende &amp; Kriterien'!$C$14)))</f>
        <v/>
      </c>
      <c r="K44" s="81">
        <f>IF(P44="Rohstoffhandel","— Handel —",IF(J44="","k.A.",IF(J44&gt;=5000,"A: &gt;5 Mrd.",IF(J44&gt;=3000,"B: 3-5 Mrd.",IF(J44&gt;=1000,"C: 1-3 Mrd.","D: 0.1-1 Mrd.")))))</f>
        <v/>
      </c>
      <c r="L44" s="81" t="inlineStr">
        <is>
          <t>2025</t>
        </is>
      </c>
      <c r="M44" s="84" t="n">
        <v>5200</v>
      </c>
      <c r="N44" s="83" t="inlineStr">
        <is>
          <t>SIX: FORN</t>
        </is>
      </c>
      <c r="O44" s="81" t="inlineStr">
        <is>
          <t>publiziert</t>
        </is>
      </c>
      <c r="P44" s="81" t="inlineStr">
        <is>
          <t>im Band</t>
        </is>
      </c>
      <c r="Q44" s="83" t="n"/>
      <c r="R44" s="63" t="n"/>
      <c r="S44" s="63" t="n"/>
      <c r="T44" s="63" t="n"/>
      <c r="U44" s="64" t="n"/>
      <c r="V44" s="85" t="inlineStr">
        <is>
          <t>https://stockanalysis.com/quote/swx/FORN/financials/</t>
        </is>
      </c>
      <c r="W44" s="81" t="inlineStr">
        <is>
          <t>Forbo</t>
        </is>
      </c>
      <c r="X44" s="86" t="inlineStr">
        <is>
          <t>Stellen suchen</t>
        </is>
      </c>
    </row>
    <row r="45" ht="15" customHeight="1" s="57">
      <c r="A45" s="59" t="n">
        <v>44</v>
      </c>
      <c r="B45" s="60" t="inlineStr">
        <is>
          <t>1</t>
        </is>
      </c>
      <c r="C45" s="59" t="inlineStr">
        <is>
          <t>VAT Group</t>
        </is>
      </c>
      <c r="D45" s="59" t="inlineStr">
        <is>
          <t>Haag (Sennwald)</t>
        </is>
      </c>
      <c r="E45" s="59" t="inlineStr">
        <is>
          <t>SG</t>
        </is>
      </c>
      <c r="F45" s="61" t="inlineStr">
        <is>
          <t>Halbleiterausrüstung</t>
        </is>
      </c>
      <c r="G45" s="61" t="inlineStr">
        <is>
          <t>Hochvakuumventile für Halbleiter- und Displayfertigung</t>
        </is>
      </c>
      <c r="H45" s="62" t="n">
        <v>1074</v>
      </c>
      <c r="I45" s="59" t="inlineStr">
        <is>
          <t>CHF</t>
        </is>
      </c>
      <c r="J45" s="62">
        <f>IF(H45="","",H45*IF(I45="CHF",1,IF(I45="EUR",'Legende &amp; Kriterien'!$C$13,'Legende &amp; Kriterien'!$C$14)))</f>
        <v/>
      </c>
      <c r="K45" s="59">
        <f>IF(P45="Rohstoffhandel","— Handel —",IF(J45="","k.A.",IF(J45&gt;=5000,"A: &gt;5 Mrd.",IF(J45&gt;=3000,"B: 3-5 Mrd.",IF(J45&gt;=1000,"C: 1-3 Mrd.","D: 0.1-1 Mrd.")))))</f>
        <v/>
      </c>
      <c r="L45" s="59" t="inlineStr">
        <is>
          <t>2025</t>
        </is>
      </c>
      <c r="M45" s="62" t="n">
        <v>3960</v>
      </c>
      <c r="N45" s="61" t="inlineStr">
        <is>
          <t>SIX: VACN</t>
        </is>
      </c>
      <c r="O45" s="59" t="inlineStr">
        <is>
          <t>publiziert</t>
        </is>
      </c>
      <c r="P45" s="59" t="inlineStr">
        <is>
          <t>im Band</t>
        </is>
      </c>
      <c r="Q45" s="61" t="n"/>
      <c r="R45" s="63" t="n"/>
      <c r="S45" s="63" t="n"/>
      <c r="T45" s="63" t="n"/>
      <c r="U45" s="64" t="n"/>
      <c r="V45" s="65" t="inlineStr">
        <is>
          <t>https://stockanalysis.com/quote/swx/VACN/financials/</t>
        </is>
      </c>
      <c r="W45" s="59" t="inlineStr">
        <is>
          <t>VAT Group</t>
        </is>
      </c>
      <c r="X45" s="66" t="inlineStr">
        <is>
          <t>Stellen suchen</t>
        </is>
      </c>
      <c r="Y45" s="67" t="inlineStr">
        <is>
          <t>https://careers.vatvalve.com/search/</t>
        </is>
      </c>
    </row>
    <row r="46" ht="23.25" customHeight="1" s="57">
      <c r="A46" s="59" t="n">
        <v>45</v>
      </c>
      <c r="B46" s="60" t="inlineStr">
        <is>
          <t>1</t>
        </is>
      </c>
      <c r="C46" s="59" t="inlineStr">
        <is>
          <t>Bossard</t>
        </is>
      </c>
      <c r="D46" s="59" t="inlineStr">
        <is>
          <t>Zug</t>
        </is>
      </c>
      <c r="E46" s="59" t="inlineStr">
        <is>
          <t>ZG</t>
        </is>
      </c>
      <c r="F46" s="61" t="inlineStr">
        <is>
          <t>Komponenten/Verbindungstechnik</t>
        </is>
      </c>
      <c r="G46" s="61" t="inlineStr">
        <is>
          <t>Verbindungstechnik, C-Teile-Logistik, Engineering</t>
        </is>
      </c>
      <c r="H46" s="62" t="n">
        <v>1069</v>
      </c>
      <c r="I46" s="59" t="inlineStr">
        <is>
          <t>CHF</t>
        </is>
      </c>
      <c r="J46" s="62">
        <f>IF(H46="","",H46*IF(I46="CHF",1,IF(I46="EUR",'Legende &amp; Kriterien'!$C$13,'Legende &amp; Kriterien'!$C$14)))</f>
        <v/>
      </c>
      <c r="K46" s="59">
        <f>IF(P46="Rohstoffhandel","— Handel —",IF(J46="","k.A.",IF(J46&gt;=5000,"A: &gt;5 Mrd.",IF(J46&gt;=3000,"B: 3-5 Mrd.",IF(J46&gt;=1000,"C: 1-3 Mrd.","D: 0.1-1 Mrd.")))))</f>
        <v/>
      </c>
      <c r="L46" s="59" t="inlineStr">
        <is>
          <t>2025</t>
        </is>
      </c>
      <c r="M46" s="62" t="n">
        <v>3180</v>
      </c>
      <c r="N46" s="61" t="inlineStr">
        <is>
          <t>SIX: BOSN</t>
        </is>
      </c>
      <c r="O46" s="59" t="inlineStr">
        <is>
          <t>publiziert</t>
        </is>
      </c>
      <c r="P46" s="59" t="inlineStr">
        <is>
          <t>im Band</t>
        </is>
      </c>
      <c r="Q46" s="61" t="n"/>
      <c r="R46" s="63" t="n"/>
      <c r="S46" s="63" t="n"/>
      <c r="T46" s="63" t="n"/>
      <c r="U46" s="64" t="n"/>
      <c r="V46" s="65" t="inlineStr">
        <is>
          <t>https://stockanalysis.com/quote/swx/BOSN/financials/</t>
        </is>
      </c>
      <c r="W46" s="59" t="inlineStr">
        <is>
          <t>Bossard</t>
        </is>
      </c>
      <c r="X46" s="66" t="inlineStr">
        <is>
          <t>Stellen suchen</t>
        </is>
      </c>
      <c r="Y46" s="67" t="inlineStr">
        <is>
          <t>https://www.jobs.ch/en/companies/3501-bossard-ag/</t>
        </is>
      </c>
    </row>
    <row r="47" ht="15" customHeight="1" s="57">
      <c r="A47" s="59" t="n">
        <v>46</v>
      </c>
      <c r="B47" s="60" t="inlineStr">
        <is>
          <t>1</t>
        </is>
      </c>
      <c r="C47" s="59" t="inlineStr">
        <is>
          <t>Burckhardt Compression</t>
        </is>
      </c>
      <c r="D47" s="59" t="inlineStr">
        <is>
          <t>Winterthur</t>
        </is>
      </c>
      <c r="E47" s="59" t="inlineStr">
        <is>
          <t>ZH</t>
        </is>
      </c>
      <c r="F47" s="61" t="inlineStr">
        <is>
          <t>Maschinenbau</t>
        </is>
      </c>
      <c r="G47" s="61" t="inlineStr">
        <is>
          <t>Kolbenkompressoren für Öl, Gas und Wasserstoff</t>
        </is>
      </c>
      <c r="H47" s="62" t="n">
        <v>1057</v>
      </c>
      <c r="I47" s="59" t="inlineStr">
        <is>
          <t>CHF</t>
        </is>
      </c>
      <c r="J47" s="62">
        <f>IF(H47="","",H47*IF(I47="CHF",1,IF(I47="EUR",'Legende &amp; Kriterien'!$C$13,'Legende &amp; Kriterien'!$C$14)))</f>
        <v/>
      </c>
      <c r="K47" s="59">
        <f>IF(P47="Rohstoffhandel","— Handel —",IF(J47="","k.A.",IF(J47&gt;=5000,"A: &gt;5 Mrd.",IF(J47&gt;=3000,"B: 3-5 Mrd.",IF(J47&gt;=1000,"C: 1-3 Mrd.","D: 0.1-1 Mrd.")))))</f>
        <v/>
      </c>
      <c r="L47" s="59" t="inlineStr">
        <is>
          <t>2025/26</t>
        </is>
      </c>
      <c r="M47" s="62" t="n">
        <v>3300</v>
      </c>
      <c r="N47" s="61" t="inlineStr">
        <is>
          <t>SIX: BCHN</t>
        </is>
      </c>
      <c r="O47" s="59" t="inlineStr">
        <is>
          <t>publiziert</t>
        </is>
      </c>
      <c r="P47" s="59" t="inlineStr">
        <is>
          <t>im Band</t>
        </is>
      </c>
      <c r="Q47" s="61" t="n"/>
      <c r="R47" s="63" t="n"/>
      <c r="S47" s="63" t="n"/>
      <c r="T47" s="63" t="n"/>
      <c r="U47" s="64" t="n"/>
      <c r="V47" s="65" t="inlineStr">
        <is>
          <t>https://stockanalysis.com/quote/swx/BCHN/financials/</t>
        </is>
      </c>
      <c r="W47" s="59" t="inlineStr">
        <is>
          <t>Burckhardt Compression</t>
        </is>
      </c>
      <c r="X47" s="66" t="inlineStr">
        <is>
          <t>Stellen suchen</t>
        </is>
      </c>
      <c r="Y47" s="67" t="inlineStr">
        <is>
          <t>https://careers.burckhardtcompression.com/search/</t>
        </is>
      </c>
    </row>
    <row r="48" ht="15" customHeight="1" s="57">
      <c r="A48" s="59" t="n">
        <v>47</v>
      </c>
      <c r="B48" s="60" t="inlineStr">
        <is>
          <t>1</t>
        </is>
      </c>
      <c r="C48" s="59" t="inlineStr">
        <is>
          <t>Accelleron</t>
        </is>
      </c>
      <c r="D48" s="59" t="inlineStr">
        <is>
          <t>Baden</t>
        </is>
      </c>
      <c r="E48" s="59" t="inlineStr">
        <is>
          <t>AG</t>
        </is>
      </c>
      <c r="F48" s="61" t="inlineStr">
        <is>
          <t>Maschinenbau</t>
        </is>
      </c>
      <c r="G48" s="61" t="inlineStr">
        <is>
          <t>Turbolader und Einspritzsysteme für Grossmotoren</t>
        </is>
      </c>
      <c r="H48" s="62" t="n">
        <v>1263</v>
      </c>
      <c r="I48" s="59" t="inlineStr">
        <is>
          <t>USD</t>
        </is>
      </c>
      <c r="J48" s="62">
        <f>IF(H48="","",H48*IF(I48="CHF",1,IF(I48="EUR",'Legende &amp; Kriterien'!$C$13,'Legende &amp; Kriterien'!$C$14)))</f>
        <v/>
      </c>
      <c r="K48" s="59">
        <f>IF(P48="Rohstoffhandel","— Handel —",IF(J48="","k.A.",IF(J48&gt;=5000,"A: &gt;5 Mrd.",IF(J48&gt;=3000,"B: 3-5 Mrd.",IF(J48&gt;=1000,"C: 1-3 Mrd.","D: 0.1-1 Mrd.")))))</f>
        <v/>
      </c>
      <c r="L48" s="59" t="inlineStr">
        <is>
          <t>2025</t>
        </is>
      </c>
      <c r="M48" s="62" t="n">
        <v>3220</v>
      </c>
      <c r="N48" s="61" t="inlineStr">
        <is>
          <t>SIX: ACLN</t>
        </is>
      </c>
      <c r="O48" s="59" t="inlineStr">
        <is>
          <t>publiziert</t>
        </is>
      </c>
      <c r="P48" s="59" t="inlineStr">
        <is>
          <t>im Band</t>
        </is>
      </c>
      <c r="Q48" s="61" t="inlineStr">
        <is>
          <t>ABB-Spin-off 2022</t>
        </is>
      </c>
      <c r="R48" s="63" t="n"/>
      <c r="S48" s="63" t="n"/>
      <c r="T48" s="63" t="n"/>
      <c r="U48" s="64" t="n"/>
      <c r="V48" s="65" t="inlineStr">
        <is>
          <t>https://stockanalysis.com/quote/swx/ACLN/financials/</t>
        </is>
      </c>
      <c r="W48" s="59" t="inlineStr">
        <is>
          <t>Accelleron</t>
        </is>
      </c>
      <c r="X48" s="66" t="inlineStr">
        <is>
          <t>Stellen suchen</t>
        </is>
      </c>
      <c r="Y48" s="67" t="inlineStr">
        <is>
          <t>https://www.jobs.ch/en/companies/125399-accelleron-industries/</t>
        </is>
      </c>
    </row>
    <row r="49" ht="15" customHeight="1" s="57">
      <c r="A49" s="81" t="n">
        <v>48</v>
      </c>
      <c r="B49" s="82" t="inlineStr">
        <is>
          <t>3</t>
        </is>
      </c>
      <c r="C49" s="81" t="inlineStr">
        <is>
          <t>Montana Aerospace</t>
        </is>
      </c>
      <c r="D49" s="81" t="inlineStr">
        <is>
          <t>Reinach</t>
        </is>
      </c>
      <c r="E49" s="81" t="inlineStr">
        <is>
          <t>AG</t>
        </is>
      </c>
      <c r="F49" s="83" t="inlineStr">
        <is>
          <t>Aerospace/Komponenten</t>
        </is>
      </c>
      <c r="G49" s="83" t="inlineStr">
        <is>
          <t>Strukturbauteile für Luftfahrt, E-Mobilität, Energie</t>
        </is>
      </c>
      <c r="H49" s="84" t="n">
        <v>1015</v>
      </c>
      <c r="I49" s="81" t="inlineStr">
        <is>
          <t>EUR</t>
        </is>
      </c>
      <c r="J49" s="84">
        <f>IF(H49="","",H49*IF(I49="CHF",1,IF(I49="EUR",'Legende &amp; Kriterien'!$C$13,'Legende &amp; Kriterien'!$C$14)))</f>
        <v/>
      </c>
      <c r="K49" s="81">
        <f>IF(P49="Rohstoffhandel","— Handel —",IF(J49="","k.A.",IF(J49&gt;=5000,"A: &gt;5 Mrd.",IF(J49&gt;=3000,"B: 3-5 Mrd.",IF(J49&gt;=1000,"C: 1-3 Mrd.","D: 0.1-1 Mrd.")))))</f>
        <v/>
      </c>
      <c r="L49" s="81" t="inlineStr">
        <is>
          <t>2025</t>
        </is>
      </c>
      <c r="M49" s="84" t="n">
        <v>6470</v>
      </c>
      <c r="N49" s="83" t="inlineStr">
        <is>
          <t>SIX: AERO</t>
        </is>
      </c>
      <c r="O49" s="81" t="inlineStr">
        <is>
          <t>publiziert</t>
        </is>
      </c>
      <c r="P49" s="81" t="inlineStr">
        <is>
          <t>im Band</t>
        </is>
      </c>
      <c r="Q49" s="83" t="n"/>
      <c r="R49" s="63" t="n"/>
      <c r="S49" s="63" t="n"/>
      <c r="T49" s="63" t="n"/>
      <c r="U49" s="64" t="n"/>
      <c r="V49" s="85" t="inlineStr">
        <is>
          <t>https://stockanalysis.com/quote/swx/AERO/financials/</t>
        </is>
      </c>
      <c r="W49" s="81" t="inlineStr">
        <is>
          <t>Montana Aerospace</t>
        </is>
      </c>
      <c r="X49" s="86" t="inlineStr">
        <is>
          <t>Stellen suchen</t>
        </is>
      </c>
    </row>
    <row r="50" ht="15" customHeight="1" s="57">
      <c r="A50" s="81" t="n">
        <v>49</v>
      </c>
      <c r="B50" s="82" t="inlineStr">
        <is>
          <t>2</t>
        </is>
      </c>
      <c r="C50" s="81" t="inlineStr">
        <is>
          <t>Hamilton Bonaduz</t>
        </is>
      </c>
      <c r="D50" s="81" t="inlineStr">
        <is>
          <t>Bonaduz</t>
        </is>
      </c>
      <c r="E50" s="81" t="inlineStr">
        <is>
          <t>GR</t>
        </is>
      </c>
      <c r="F50" s="83" t="inlineStr">
        <is>
          <t>Laborautomation</t>
        </is>
      </c>
      <c r="G50" s="83" t="inlineStr">
        <is>
          <t>Pipettierroboter, Laborautomation, Sensoren, Beatmungsgeräte</t>
        </is>
      </c>
      <c r="H50" s="84" t="n">
        <v>950</v>
      </c>
      <c r="I50" s="81" t="inlineStr">
        <is>
          <t>CHF</t>
        </is>
      </c>
      <c r="J50" s="84">
        <f>IF(H50="","",H50*IF(I50="CHF",1,IF(I50="EUR",'Legende &amp; Kriterien'!$C$13,'Legende &amp; Kriterien'!$C$14)))</f>
        <v/>
      </c>
      <c r="K50" s="81">
        <f>IF(P50="Rohstoffhandel","— Handel —",IF(J50="","k.A.",IF(J50&gt;=5000,"A: &gt;5 Mrd.",IF(J50&gt;=3000,"B: 3-5 Mrd.",IF(J50&gt;=1000,"C: 1-3 Mrd.","D: 0.1-1 Mrd.")))))</f>
        <v/>
      </c>
      <c r="L50" s="81" t="inlineStr">
        <is>
          <t>k.A.</t>
        </is>
      </c>
      <c r="M50" s="84" t="n">
        <v>3000</v>
      </c>
      <c r="N50" s="83" t="inlineStr">
        <is>
          <t>Familienbesitz / US-Mutter</t>
        </is>
      </c>
      <c r="O50" s="81" t="inlineStr">
        <is>
          <t>geschätzt</t>
        </is>
      </c>
      <c r="P50" s="81" t="inlineStr">
        <is>
          <t>im Band</t>
        </is>
      </c>
      <c r="Q50" s="83" t="inlineStr">
        <is>
          <t>Publiziert keine Zahlen</t>
        </is>
      </c>
      <c r="R50" s="63" t="n"/>
      <c r="S50" s="63" t="n"/>
      <c r="T50" s="63" t="n"/>
      <c r="U50" s="64" t="n"/>
      <c r="V50" s="85" t="inlineStr">
        <is>
          <t>https://de.wikipedia.org/wiki/Hamilton_Bonaduz</t>
        </is>
      </c>
      <c r="W50" s="81" t="inlineStr">
        <is>
          <t>Hamilton</t>
        </is>
      </c>
      <c r="X50" s="86" t="inlineStr">
        <is>
          <t>Stellen suchen</t>
        </is>
      </c>
    </row>
    <row r="51" ht="15" customHeight="1" s="57">
      <c r="A51" s="59" t="n">
        <v>50</v>
      </c>
      <c r="B51" s="60" t="inlineStr">
        <is>
          <t>1</t>
        </is>
      </c>
      <c r="C51" s="59" t="inlineStr">
        <is>
          <t>Landis+Gyr</t>
        </is>
      </c>
      <c r="D51" s="59" t="inlineStr">
        <is>
          <t>Cham</t>
        </is>
      </c>
      <c r="E51" s="59" t="inlineStr">
        <is>
          <t>ZG</t>
        </is>
      </c>
      <c r="F51" s="61" t="inlineStr">
        <is>
          <t>Messtechnik</t>
        </is>
      </c>
      <c r="G51" s="61" t="inlineStr">
        <is>
          <t>Intelligente Stromzähler, Smart-Grid- und Netzmanagementsysteme</t>
        </is>
      </c>
      <c r="H51" s="62" t="n">
        <v>1166</v>
      </c>
      <c r="I51" s="59" t="inlineStr">
        <is>
          <t>USD</t>
        </is>
      </c>
      <c r="J51" s="62">
        <f>IF(H51="","",H51*IF(I51="CHF",1,IF(I51="EUR",'Legende &amp; Kriterien'!$C$13,'Legende &amp; Kriterien'!$C$14)))</f>
        <v/>
      </c>
      <c r="K51" s="59">
        <f>IF(P51="Rohstoffhandel","— Handel —",IF(J51="","k.A.",IF(J51&gt;=5000,"A: &gt;5 Mrd.",IF(J51&gt;=3000,"B: 3-5 Mrd.",IF(J51&gt;=1000,"C: 1-3 Mrd.","D: 0.1-1 Mrd.")))))</f>
        <v/>
      </c>
      <c r="L51" s="59" t="inlineStr">
        <is>
          <t>2025/26</t>
        </is>
      </c>
      <c r="M51" s="62" t="n">
        <v>6060</v>
      </c>
      <c r="N51" s="61" t="inlineStr">
        <is>
          <t>SIX: LAND</t>
        </is>
      </c>
      <c r="O51" s="59" t="inlineStr">
        <is>
          <t>publiziert</t>
        </is>
      </c>
      <c r="P51" s="59" t="inlineStr">
        <is>
          <t>im Band</t>
        </is>
      </c>
      <c r="Q51" s="61" t="inlineStr">
        <is>
          <t>Nur fortgeführte Geschäfte; EMEA im April 2026 verkauft</t>
        </is>
      </c>
      <c r="R51" s="63" t="n"/>
      <c r="S51" s="63" t="n"/>
      <c r="T51" s="63" t="n"/>
      <c r="U51" s="64" t="n"/>
      <c r="V51" s="65" t="inlineStr">
        <is>
          <t>https://www.landisgyr.com/nam/en/home/news-media/newsroom/2026/Landis-Gyr-Announces-Q4-and-Full-Year-FY-2025-Financial-Results</t>
        </is>
      </c>
      <c r="W51" s="59" t="inlineStr">
        <is>
          <t>Landis Gyr</t>
        </is>
      </c>
      <c r="X51" s="66" t="inlineStr">
        <is>
          <t>Stellen suchen</t>
        </is>
      </c>
      <c r="Y51" s="67" t="inlineStr">
        <is>
          <t>https://careers.landisgyr.com/search/</t>
        </is>
      </c>
    </row>
    <row r="52" ht="15" customHeight="1" s="57">
      <c r="A52" s="81" t="n">
        <v>51</v>
      </c>
      <c r="B52" s="82" t="inlineStr">
        <is>
          <t>2</t>
        </is>
      </c>
      <c r="C52" s="81" t="inlineStr">
        <is>
          <t>Schweiter Technologies</t>
        </is>
      </c>
      <c r="D52" s="81" t="inlineStr">
        <is>
          <t>Steinhausen</t>
        </is>
      </c>
      <c r="E52" s="81" t="inlineStr">
        <is>
          <t>ZG</t>
        </is>
      </c>
      <c r="F52" s="83" t="inlineStr">
        <is>
          <t>Materialien/Leichtbau</t>
        </is>
      </c>
      <c r="G52" s="83" t="inlineStr">
        <is>
          <t>Verbundplatten, Leichtbauwerkstoffe, Displaymaterialien</t>
        </is>
      </c>
      <c r="H52" s="84" t="n">
        <v>904.4</v>
      </c>
      <c r="I52" s="81" t="inlineStr">
        <is>
          <t>CHF</t>
        </is>
      </c>
      <c r="J52" s="84">
        <f>IF(H52="","",H52*IF(I52="CHF",1,IF(I52="EUR",'Legende &amp; Kriterien'!$C$13,'Legende &amp; Kriterien'!$C$14)))</f>
        <v/>
      </c>
      <c r="K52" s="81">
        <f>IF(P52="Rohstoffhandel","— Handel —",IF(J52="","k.A.",IF(J52&gt;=5000,"A: &gt;5 Mrd.",IF(J52&gt;=3000,"B: 3-5 Mrd.",IF(J52&gt;=1000,"C: 1-3 Mrd.","D: 0.1-1 Mrd.")))))</f>
        <v/>
      </c>
      <c r="L52" s="81" t="inlineStr">
        <is>
          <t>2025</t>
        </is>
      </c>
      <c r="M52" s="84" t="n">
        <v>4080</v>
      </c>
      <c r="N52" s="83" t="inlineStr">
        <is>
          <t>SIX: SWTQ</t>
        </is>
      </c>
      <c r="O52" s="81" t="inlineStr">
        <is>
          <t>publiziert</t>
        </is>
      </c>
      <c r="P52" s="81" t="inlineStr">
        <is>
          <t>im Band</t>
        </is>
      </c>
      <c r="Q52" s="83" t="n"/>
      <c r="R52" s="63" t="n"/>
      <c r="S52" s="63" t="n"/>
      <c r="T52" s="63" t="n"/>
      <c r="U52" s="64" t="n"/>
      <c r="V52" s="85" t="inlineStr">
        <is>
          <t>https://stockanalysis.com/quote/swx/SWTQ/financials/</t>
        </is>
      </c>
      <c r="W52" s="81" t="inlineStr">
        <is>
          <t>Schweiter Technologies</t>
        </is>
      </c>
      <c r="X52" s="86" t="inlineStr">
        <is>
          <t>Stellen suchen</t>
        </is>
      </c>
    </row>
    <row r="53" ht="15" customHeight="1" s="57">
      <c r="A53" s="59" t="n">
        <v>52</v>
      </c>
      <c r="B53" s="60" t="inlineStr">
        <is>
          <t>1</t>
        </is>
      </c>
      <c r="C53" s="59" t="inlineStr">
        <is>
          <t>Tecan</t>
        </is>
      </c>
      <c r="D53" s="59" t="inlineStr">
        <is>
          <t>Männedorf</t>
        </is>
      </c>
      <c r="E53" s="59" t="inlineStr">
        <is>
          <t>ZH</t>
        </is>
      </c>
      <c r="F53" s="61" t="inlineStr">
        <is>
          <t>Laborautomation</t>
        </is>
      </c>
      <c r="G53" s="61" t="inlineStr">
        <is>
          <t>Laborautomation, Pipettierroboter, OEM-Instrumente</t>
        </is>
      </c>
      <c r="H53" s="62" t="n">
        <v>882.5</v>
      </c>
      <c r="I53" s="59" t="inlineStr">
        <is>
          <t>CHF</t>
        </is>
      </c>
      <c r="J53" s="62">
        <f>IF(H53="","",H53*IF(I53="CHF",1,IF(I53="EUR",'Legende &amp; Kriterien'!$C$13,'Legende &amp; Kriterien'!$C$14)))</f>
        <v/>
      </c>
      <c r="K53" s="59">
        <f>IF(P53="Rohstoffhandel","— Handel —",IF(J53="","k.A.",IF(J53&gt;=5000,"A: &gt;5 Mrd.",IF(J53&gt;=3000,"B: 3-5 Mrd.",IF(J53&gt;=1000,"C: 1-3 Mrd.","D: 0.1-1 Mrd.")))))</f>
        <v/>
      </c>
      <c r="L53" s="59" t="inlineStr">
        <is>
          <t>2025</t>
        </is>
      </c>
      <c r="M53" s="62" t="n">
        <v>3300</v>
      </c>
      <c r="N53" s="61" t="inlineStr">
        <is>
          <t>SIX: TECN</t>
        </is>
      </c>
      <c r="O53" s="59" t="inlineStr">
        <is>
          <t>publiziert</t>
        </is>
      </c>
      <c r="P53" s="59" t="inlineStr">
        <is>
          <t>im Band</t>
        </is>
      </c>
      <c r="Q53" s="61" t="n"/>
      <c r="R53" s="63" t="n"/>
      <c r="S53" s="63" t="n"/>
      <c r="T53" s="63" t="n"/>
      <c r="U53" s="64" t="n"/>
      <c r="V53" s="65" t="inlineStr">
        <is>
          <t>https://stockanalysis.com/quote/swx/TECN/financials/</t>
        </is>
      </c>
      <c r="W53" s="59" t="inlineStr">
        <is>
          <t>Tecan</t>
        </is>
      </c>
      <c r="X53" s="66" t="inlineStr">
        <is>
          <t>Stellen suchen</t>
        </is>
      </c>
      <c r="Y53" s="67" t="inlineStr">
        <is>
          <t>https://careers.tecan.com/search/</t>
        </is>
      </c>
    </row>
    <row r="54" ht="15" customHeight="1" s="57">
      <c r="A54" s="59" t="n">
        <v>53</v>
      </c>
      <c r="B54" s="60" t="inlineStr">
        <is>
          <t>1</t>
        </is>
      </c>
      <c r="C54" s="59" t="inlineStr">
        <is>
          <t>HUBER+SUHNER</t>
        </is>
      </c>
      <c r="D54" s="59" t="inlineStr">
        <is>
          <t>Herisau</t>
        </is>
      </c>
      <c r="E54" s="59" t="inlineStr">
        <is>
          <t>AR</t>
        </is>
      </c>
      <c r="F54" s="61" t="inlineStr">
        <is>
          <t>Konnektivität</t>
        </is>
      </c>
      <c r="G54" s="61" t="inlineStr">
        <is>
          <t>Hochfrequenz-, Glasfaser- und Kabelverbindungstechnik</t>
        </is>
      </c>
      <c r="H54" s="62" t="n">
        <v>864.1</v>
      </c>
      <c r="I54" s="59" t="inlineStr">
        <is>
          <t>CHF</t>
        </is>
      </c>
      <c r="J54" s="62">
        <f>IF(H54="","",H54*IF(I54="CHF",1,IF(I54="EUR",'Legende &amp; Kriterien'!$C$13,'Legende &amp; Kriterien'!$C$14)))</f>
        <v/>
      </c>
      <c r="K54" s="59">
        <f>IF(P54="Rohstoffhandel","— Handel —",IF(J54="","k.A.",IF(J54&gt;=5000,"A: &gt;5 Mrd.",IF(J54&gt;=3000,"B: 3-5 Mrd.",IF(J54&gt;=1000,"C: 1-3 Mrd.","D: 0.1-1 Mrd.")))))</f>
        <v/>
      </c>
      <c r="L54" s="59" t="inlineStr">
        <is>
          <t>2025</t>
        </is>
      </c>
      <c r="M54" s="62" t="n">
        <v>4220</v>
      </c>
      <c r="N54" s="61" t="inlineStr">
        <is>
          <t>SIX: HUBN</t>
        </is>
      </c>
      <c r="O54" s="59" t="inlineStr">
        <is>
          <t>publiziert</t>
        </is>
      </c>
      <c r="P54" s="59" t="inlineStr">
        <is>
          <t>im Band</t>
        </is>
      </c>
      <c r="Q54" s="61" t="n"/>
      <c r="R54" s="63" t="n"/>
      <c r="S54" s="63" t="n"/>
      <c r="T54" s="63" t="n"/>
      <c r="U54" s="64" t="n"/>
      <c r="V54" s="65" t="inlineStr">
        <is>
          <t>https://stockanalysis.com/quote/swx/HUBN/financials/</t>
        </is>
      </c>
      <c r="W54" s="59" t="inlineStr">
        <is>
          <t>HUBER SUHNER</t>
        </is>
      </c>
      <c r="X54" s="66" t="inlineStr">
        <is>
          <t>Stellen suchen</t>
        </is>
      </c>
      <c r="Y54" s="67" t="inlineStr">
        <is>
          <t>https://recruiting.hubersuhner.com/Jobs/All?lang=de</t>
        </is>
      </c>
    </row>
    <row r="55" ht="15" customHeight="1" s="57">
      <c r="A55" s="59" t="n">
        <v>54</v>
      </c>
      <c r="B55" s="60" t="inlineStr">
        <is>
          <t>1</t>
        </is>
      </c>
      <c r="C55" s="59" t="inlineStr">
        <is>
          <t>Ivoclar Group</t>
        </is>
      </c>
      <c r="D55" s="59" t="inlineStr">
        <is>
          <t>Schaan</t>
        </is>
      </c>
      <c r="E55" s="59" t="inlineStr">
        <is>
          <t>FL</t>
        </is>
      </c>
      <c r="F55" s="61" t="inlineStr">
        <is>
          <t>Dental/Medtech</t>
        </is>
      </c>
      <c r="G55" s="61" t="inlineStr">
        <is>
          <t>Dentalmaterialien, Keramik und Geräte für Zahnärzte und Labore</t>
        </is>
      </c>
      <c r="H55" s="62" t="n">
        <v>856</v>
      </c>
      <c r="I55" s="59" t="inlineStr">
        <is>
          <t>CHF</t>
        </is>
      </c>
      <c r="J55" s="62">
        <f>IF(H55="","",H55*IF(I55="CHF",1,IF(I55="EUR",'Legende &amp; Kriterien'!$C$13,'Legende &amp; Kriterien'!$C$14)))</f>
        <v/>
      </c>
      <c r="K55" s="59">
        <f>IF(P55="Rohstoffhandel","— Handel —",IF(J55="","k.A.",IF(J55&gt;=5000,"A: &gt;5 Mrd.",IF(J55&gt;=3000,"B: 3-5 Mrd.",IF(J55&gt;=1000,"C: 1-3 Mrd.","D: 0.1-1 Mrd.")))))</f>
        <v/>
      </c>
      <c r="L55" s="59" t="inlineStr">
        <is>
          <t>2023</t>
        </is>
      </c>
      <c r="M55" s="62" t="n">
        <v>3700</v>
      </c>
      <c r="N55" s="61" t="inlineStr">
        <is>
          <t>Familie Zeller, privat</t>
        </is>
      </c>
      <c r="O55" s="59" t="inlineStr">
        <is>
          <t>veraltet</t>
        </is>
      </c>
      <c r="P55" s="59" t="inlineStr">
        <is>
          <t>Liechtenstein</t>
        </is>
      </c>
      <c r="Q55" s="61" t="n"/>
      <c r="R55" s="63" t="n"/>
      <c r="S55" s="63" t="n"/>
      <c r="T55" s="63" t="n"/>
      <c r="U55" s="64" t="n"/>
      <c r="V55" s="65" t="inlineStr">
        <is>
          <t>https://www.wirtschaftszeit.li/news/856-millionen-franken-ivoclar-gruppe-meldet-umsatz-fuer-2023/</t>
        </is>
      </c>
      <c r="W55" s="59" t="inlineStr">
        <is>
          <t>Ivoclar Group</t>
        </is>
      </c>
      <c r="X55" s="66" t="inlineStr">
        <is>
          <t>Stellen suchen</t>
        </is>
      </c>
      <c r="Y55" s="67" t="inlineStr">
        <is>
          <t>https://www.jobs.ch/en/companies/6731-ivoclar-vivadent-ag/</t>
        </is>
      </c>
    </row>
    <row r="56" ht="15" customHeight="1" s="57">
      <c r="A56" s="81" t="n">
        <v>55</v>
      </c>
      <c r="B56" s="82" t="inlineStr">
        <is>
          <t>3</t>
        </is>
      </c>
      <c r="C56" s="81" t="inlineStr">
        <is>
          <t>Habasit</t>
        </is>
      </c>
      <c r="D56" s="81" t="inlineStr">
        <is>
          <t>Reinach</t>
        </is>
      </c>
      <c r="E56" s="81" t="inlineStr">
        <is>
          <t>BL</t>
        </is>
      </c>
      <c r="F56" s="83" t="inlineStr">
        <is>
          <t>Antriebs-/Fördertechnik</t>
        </is>
      </c>
      <c r="G56" s="83" t="inlineStr">
        <is>
          <t>Transportbänder, Antriebsriemen, Modul- und Zahnriemen</t>
        </is>
      </c>
      <c r="H56" s="84" t="n">
        <v>850</v>
      </c>
      <c r="I56" s="81" t="inlineStr">
        <is>
          <t>CHF</t>
        </is>
      </c>
      <c r="J56" s="84">
        <f>IF(H56="","",H56*IF(I56="CHF",1,IF(I56="EUR",'Legende &amp; Kriterien'!$C$13,'Legende &amp; Kriterien'!$C$14)))</f>
        <v/>
      </c>
      <c r="K56" s="81">
        <f>IF(P56="Rohstoffhandel","— Handel —",IF(J56="","k.A.",IF(J56&gt;=5000,"A: &gt;5 Mrd.",IF(J56&gt;=3000,"B: 3-5 Mrd.",IF(J56&gt;=1000,"C: 1-3 Mrd.","D: 0.1-1 Mrd.")))))</f>
        <v/>
      </c>
      <c r="L56" s="81" t="inlineStr">
        <is>
          <t>k.A.</t>
        </is>
      </c>
      <c r="M56" s="84" t="n">
        <v>3800</v>
      </c>
      <c r="N56" s="83" t="inlineStr">
        <is>
          <t>Familie Habegger (100%)</t>
        </is>
      </c>
      <c r="O56" s="81" t="inlineStr">
        <is>
          <t>geschätzt</t>
        </is>
      </c>
      <c r="P56" s="81" t="inlineStr">
        <is>
          <t>im Band</t>
        </is>
      </c>
      <c r="Q56" s="83" t="inlineStr">
        <is>
          <t>Publiziert keine Zahlen</t>
        </is>
      </c>
      <c r="R56" s="63" t="n"/>
      <c r="S56" s="63" t="n"/>
      <c r="T56" s="63" t="n"/>
      <c r="U56" s="64" t="n"/>
      <c r="V56" s="85" t="inlineStr">
        <is>
          <t>https://de.wikipedia.org/wiki/Habasit</t>
        </is>
      </c>
      <c r="W56" s="81" t="inlineStr">
        <is>
          <t>Habasit</t>
        </is>
      </c>
      <c r="X56" s="86" t="inlineStr">
        <is>
          <t>Stellen suchen</t>
        </is>
      </c>
    </row>
    <row r="57" ht="15" customHeight="1" s="57">
      <c r="A57" s="81" t="n">
        <v>56</v>
      </c>
      <c r="B57" s="82" t="inlineStr">
        <is>
          <t>3</t>
        </is>
      </c>
      <c r="C57" s="81" t="inlineStr">
        <is>
          <t>RUAG MRO Holding</t>
        </is>
      </c>
      <c r="D57" s="81" t="inlineStr">
        <is>
          <t>Bern</t>
        </is>
      </c>
      <c r="E57" s="81" t="inlineStr">
        <is>
          <t>BE</t>
        </is>
      </c>
      <c r="F57" s="83" t="inlineStr">
        <is>
          <t>Verteidigungstechnik</t>
        </is>
      </c>
      <c r="G57" s="83" t="inlineStr">
        <is>
          <t>Instandhaltung und Systemintegration für die Schweizer Armee</t>
        </is>
      </c>
      <c r="H57" s="84" t="n">
        <v>825</v>
      </c>
      <c r="I57" s="81" t="inlineStr">
        <is>
          <t>CHF</t>
        </is>
      </c>
      <c r="J57" s="84">
        <f>IF(H57="","",H57*IF(I57="CHF",1,IF(I57="EUR",'Legende &amp; Kriterien'!$C$13,'Legende &amp; Kriterien'!$C$14)))</f>
        <v/>
      </c>
      <c r="K57" s="81">
        <f>IF(P57="Rohstoffhandel","— Handel —",IF(J57="","k.A.",IF(J57&gt;=5000,"A: &gt;5 Mrd.",IF(J57&gt;=3000,"B: 3-5 Mrd.",IF(J57&gt;=1000,"C: 1-3 Mrd.","D: 0.1-1 Mrd.")))))</f>
        <v/>
      </c>
      <c r="L57" s="81" t="inlineStr">
        <is>
          <t>2025</t>
        </is>
      </c>
      <c r="M57" s="84" t="n">
        <v>2500</v>
      </c>
      <c r="N57" s="83" t="inlineStr">
        <is>
          <t>Eidgenossenschaft (100%)</t>
        </is>
      </c>
      <c r="O57" s="81" t="inlineStr">
        <is>
          <t>publiziert</t>
        </is>
      </c>
      <c r="P57" s="81" t="inlineStr">
        <is>
          <t>im Band</t>
        </is>
      </c>
      <c r="Q57" s="83" t="n"/>
      <c r="R57" s="63" t="n"/>
      <c r="S57" s="63" t="n"/>
      <c r="T57" s="63" t="n"/>
      <c r="U57" s="64" t="n"/>
      <c r="V57" s="85" t="inlineStr">
        <is>
          <t>https://www.cash.ch/news/ruag-mro-steigert-umsatz-und-gewinn-deutlich-922782</t>
        </is>
      </c>
      <c r="W57" s="81" t="inlineStr">
        <is>
          <t>RUAG</t>
        </is>
      </c>
      <c r="X57" s="86" t="inlineStr">
        <is>
          <t>Stellen suchen</t>
        </is>
      </c>
    </row>
    <row r="58" ht="15" customHeight="1" s="57">
      <c r="A58" s="59" t="n">
        <v>57</v>
      </c>
      <c r="B58" s="60" t="inlineStr">
        <is>
          <t>1</t>
        </is>
      </c>
      <c r="C58" s="59" t="inlineStr">
        <is>
          <t>Kardex</t>
        </is>
      </c>
      <c r="D58" s="59" t="inlineStr">
        <is>
          <t>Zürich</t>
        </is>
      </c>
      <c r="E58" s="59" t="inlineStr">
        <is>
          <t>ZH</t>
        </is>
      </c>
      <c r="F58" s="61" t="inlineStr">
        <is>
          <t>Intralogistik/Automation</t>
        </is>
      </c>
      <c r="G58" s="61" t="inlineStr">
        <is>
          <t>Automatisierte Lager- und Kommissioniersysteme, Lagerlifte</t>
        </is>
      </c>
      <c r="H58" s="62" t="n">
        <v>850.4</v>
      </c>
      <c r="I58" s="59" t="inlineStr">
        <is>
          <t>EUR</t>
        </is>
      </c>
      <c r="J58" s="62">
        <f>IF(H58="","",H58*IF(I58="CHF",1,IF(I58="EUR",'Legende &amp; Kriterien'!$C$13,'Legende &amp; Kriterien'!$C$14)))</f>
        <v/>
      </c>
      <c r="K58" s="59">
        <f>IF(P58="Rohstoffhandel","— Handel —",IF(J58="","k.A.",IF(J58&gt;=5000,"A: &gt;5 Mrd.",IF(J58&gt;=3000,"B: 3-5 Mrd.",IF(J58&gt;=1000,"C: 1-3 Mrd.","D: 0.1-1 Mrd.")))))</f>
        <v/>
      </c>
      <c r="L58" s="59" t="inlineStr">
        <is>
          <t>2025</t>
        </is>
      </c>
      <c r="M58" s="62" t="n">
        <v>3040</v>
      </c>
      <c r="N58" s="61" t="inlineStr">
        <is>
          <t>SIX: KARN</t>
        </is>
      </c>
      <c r="O58" s="59" t="inlineStr">
        <is>
          <t>publiziert</t>
        </is>
      </c>
      <c r="P58" s="59" t="inlineStr">
        <is>
          <t>im Band</t>
        </is>
      </c>
      <c r="Q58" s="61" t="n"/>
      <c r="R58" s="63" t="n"/>
      <c r="S58" s="63" t="n"/>
      <c r="T58" s="63" t="n"/>
      <c r="U58" s="64" t="n"/>
      <c r="V58" s="65" t="inlineStr">
        <is>
          <t>https://stockanalysis.com/quote/swx/KARN/financials/</t>
        </is>
      </c>
      <c r="W58" s="59" t="inlineStr">
        <is>
          <t>Kardex</t>
        </is>
      </c>
      <c r="X58" s="66" t="inlineStr">
        <is>
          <t>Stellen suchen</t>
        </is>
      </c>
      <c r="Y58" s="68" t="inlineStr">
        <is>
          <t>https://kardex.wd103.myworkdayjobs.com/Kardex — nicht abrufbar ohne Rendern, Workday</t>
        </is>
      </c>
    </row>
    <row r="59" ht="15" customHeight="1" s="57">
      <c r="A59" s="81" t="n">
        <v>58</v>
      </c>
      <c r="B59" s="82" t="inlineStr">
        <is>
          <t>3</t>
        </is>
      </c>
      <c r="C59" s="81" t="inlineStr">
        <is>
          <t>Vetropack</t>
        </is>
      </c>
      <c r="D59" s="81" t="inlineStr">
        <is>
          <t>Bülach</t>
        </is>
      </c>
      <c r="E59" s="81" t="inlineStr">
        <is>
          <t>ZH</t>
        </is>
      </c>
      <c r="F59" s="83" t="inlineStr">
        <is>
          <t>Verpackung</t>
        </is>
      </c>
      <c r="G59" s="83" t="inlineStr">
        <is>
          <t>Glasverpackungen für Getränke und Lebensmittel</t>
        </is>
      </c>
      <c r="H59" s="84" t="n">
        <v>784.2</v>
      </c>
      <c r="I59" s="81" t="inlineStr">
        <is>
          <t>CHF</t>
        </is>
      </c>
      <c r="J59" s="84">
        <f>IF(H59="","",H59*IF(I59="CHF",1,IF(I59="EUR",'Legende &amp; Kriterien'!$C$13,'Legende &amp; Kriterien'!$C$14)))</f>
        <v/>
      </c>
      <c r="K59" s="81">
        <f>IF(P59="Rohstoffhandel","— Handel —",IF(J59="","k.A.",IF(J59&gt;=5000,"A: &gt;5 Mrd.",IF(J59&gt;=3000,"B: 3-5 Mrd.",IF(J59&gt;=1000,"C: 1-3 Mrd.","D: 0.1-1 Mrd.")))))</f>
        <v/>
      </c>
      <c r="L59" s="81" t="inlineStr">
        <is>
          <t>2025</t>
        </is>
      </c>
      <c r="M59" s="84" t="n">
        <v>3530</v>
      </c>
      <c r="N59" s="83" t="inlineStr">
        <is>
          <t>SIX: VETN</t>
        </is>
      </c>
      <c r="O59" s="81" t="inlineStr">
        <is>
          <t>publiziert</t>
        </is>
      </c>
      <c r="P59" s="81" t="inlineStr">
        <is>
          <t>im Band</t>
        </is>
      </c>
      <c r="Q59" s="83" t="n"/>
      <c r="R59" s="63" t="n"/>
      <c r="S59" s="63" t="n"/>
      <c r="T59" s="63" t="n"/>
      <c r="U59" s="64" t="n"/>
      <c r="V59" s="85" t="inlineStr">
        <is>
          <t>https://stockanalysis.com/quote/swx/VETN/financials/</t>
        </is>
      </c>
      <c r="W59" s="81" t="inlineStr">
        <is>
          <t>Vetropack</t>
        </is>
      </c>
      <c r="X59" s="86" t="inlineStr">
        <is>
          <t>Stellen suchen</t>
        </is>
      </c>
    </row>
    <row r="60" ht="15" customHeight="1" s="57">
      <c r="A60" s="81" t="n">
        <v>59</v>
      </c>
      <c r="B60" s="82" t="inlineStr">
        <is>
          <t>2</t>
        </is>
      </c>
      <c r="C60" s="81" t="inlineStr">
        <is>
          <t>Ypsomed</t>
        </is>
      </c>
      <c r="D60" s="81" t="inlineStr">
        <is>
          <t>Burgdorf</t>
        </is>
      </c>
      <c r="E60" s="81" t="inlineStr">
        <is>
          <t>BE</t>
        </is>
      </c>
      <c r="F60" s="83" t="inlineStr">
        <is>
          <t>Medtech</t>
        </is>
      </c>
      <c r="G60" s="83" t="inlineStr">
        <is>
          <t>Autoinjektoren, Pens und Pumpen zur Medikamentenabgabe</t>
        </is>
      </c>
      <c r="H60" s="84" t="n">
        <v>731</v>
      </c>
      <c r="I60" s="81" t="inlineStr">
        <is>
          <t>CHF</t>
        </is>
      </c>
      <c r="J60" s="84">
        <f>IF(H60="","",H60*IF(I60="CHF",1,IF(I60="EUR",'Legende &amp; Kriterien'!$C$13,'Legende &amp; Kriterien'!$C$14)))</f>
        <v/>
      </c>
      <c r="K60" s="81">
        <f>IF(P60="Rohstoffhandel","— Handel —",IF(J60="","k.A.",IF(J60&gt;=5000,"A: &gt;5 Mrd.",IF(J60&gt;=3000,"B: 3-5 Mrd.",IF(J60&gt;=1000,"C: 1-3 Mrd.","D: 0.1-1 Mrd.")))))</f>
        <v/>
      </c>
      <c r="L60" s="81" t="inlineStr">
        <is>
          <t>2025/26</t>
        </is>
      </c>
      <c r="M60" s="84" t="n">
        <v>2030</v>
      </c>
      <c r="N60" s="83" t="inlineStr">
        <is>
          <t>SIX: YPSN</t>
        </is>
      </c>
      <c r="O60" s="81" t="inlineStr">
        <is>
          <t>publiziert</t>
        </is>
      </c>
      <c r="P60" s="81" t="inlineStr">
        <is>
          <t>im Band</t>
        </is>
      </c>
      <c r="Q60" s="83" t="n"/>
      <c r="R60" s="63" t="n"/>
      <c r="S60" s="63" t="n"/>
      <c r="T60" s="63" t="n"/>
      <c r="U60" s="64" t="n"/>
      <c r="V60" s="85" t="inlineStr">
        <is>
          <t>https://stockanalysis.com/quote/swx/YPSN/financials/</t>
        </is>
      </c>
      <c r="W60" s="81" t="inlineStr">
        <is>
          <t>Ypsomed</t>
        </is>
      </c>
      <c r="X60" s="86" t="inlineStr">
        <is>
          <t>Stellen suchen</t>
        </is>
      </c>
    </row>
    <row r="61" ht="15" customHeight="1" s="57">
      <c r="A61" s="81" t="n">
        <v>60</v>
      </c>
      <c r="B61" s="82" t="inlineStr">
        <is>
          <t>2</t>
        </is>
      </c>
      <c r="C61" s="81" t="inlineStr">
        <is>
          <t>Zehnder Group</t>
        </is>
      </c>
      <c r="D61" s="81" t="inlineStr">
        <is>
          <t>Gränichen</t>
        </is>
      </c>
      <c r="E61" s="81" t="inlineStr">
        <is>
          <t>AG</t>
        </is>
      </c>
      <c r="F61" s="83" t="inlineStr">
        <is>
          <t>Bautechnik/HLK</t>
        </is>
      </c>
      <c r="G61" s="83" t="inlineStr">
        <is>
          <t>Komfortlüftung, Designheizkörper, Raumklimasysteme</t>
        </is>
      </c>
      <c r="H61" s="84" t="n">
        <v>763.3</v>
      </c>
      <c r="I61" s="81" t="inlineStr">
        <is>
          <t>EUR</t>
        </is>
      </c>
      <c r="J61" s="84">
        <f>IF(H61="","",H61*IF(I61="CHF",1,IF(I61="EUR",'Legende &amp; Kriterien'!$C$13,'Legende &amp; Kriterien'!$C$14)))</f>
        <v/>
      </c>
      <c r="K61" s="81">
        <f>IF(P61="Rohstoffhandel","— Handel —",IF(J61="","k.A.",IF(J61&gt;=5000,"A: &gt;5 Mrd.",IF(J61&gt;=3000,"B: 3-5 Mrd.",IF(J61&gt;=1000,"C: 1-3 Mrd.","D: 0.1-1 Mrd.")))))</f>
        <v/>
      </c>
      <c r="L61" s="81" t="inlineStr">
        <is>
          <t>2025</t>
        </is>
      </c>
      <c r="M61" s="84" t="n">
        <v>3640</v>
      </c>
      <c r="N61" s="83" t="inlineStr">
        <is>
          <t>SIX: ZEHN</t>
        </is>
      </c>
      <c r="O61" s="81" t="inlineStr">
        <is>
          <t>publiziert</t>
        </is>
      </c>
      <c r="P61" s="81" t="inlineStr">
        <is>
          <t>im Band</t>
        </is>
      </c>
      <c r="Q61" s="83" t="n"/>
      <c r="R61" s="63" t="n"/>
      <c r="S61" s="63" t="n"/>
      <c r="T61" s="63" t="n"/>
      <c r="U61" s="64" t="n"/>
      <c r="V61" s="85" t="inlineStr">
        <is>
          <t>https://stockanalysis.com/quote/swx/ZEHN/financials/</t>
        </is>
      </c>
      <c r="W61" s="81" t="inlineStr">
        <is>
          <t>Zehnder</t>
        </is>
      </c>
      <c r="X61" s="86" t="inlineStr">
        <is>
          <t>Stellen suchen</t>
        </is>
      </c>
    </row>
    <row r="62" ht="15" customHeight="1" s="57">
      <c r="A62" s="81" t="n">
        <v>61</v>
      </c>
      <c r="B62" s="82" t="inlineStr">
        <is>
          <t>2</t>
        </is>
      </c>
      <c r="C62" s="81" t="inlineStr">
        <is>
          <t>Phoenix Mecano</t>
        </is>
      </c>
      <c r="D62" s="81" t="inlineStr">
        <is>
          <t>Stein am Rhein</t>
        </is>
      </c>
      <c r="E62" s="81" t="inlineStr">
        <is>
          <t>SH</t>
        </is>
      </c>
      <c r="F62" s="83" t="inlineStr">
        <is>
          <t>Elektronik/Komponenten</t>
        </is>
      </c>
      <c r="G62" s="83" t="inlineStr">
        <is>
          <t>Industriegehäuse, Elektromechanik, elektrische Linearantriebe</t>
        </is>
      </c>
      <c r="H62" s="84" t="n">
        <v>748.9</v>
      </c>
      <c r="I62" s="81" t="inlineStr">
        <is>
          <t>EUR</t>
        </is>
      </c>
      <c r="J62" s="84">
        <f>IF(H62="","",H62*IF(I62="CHF",1,IF(I62="EUR",'Legende &amp; Kriterien'!$C$13,'Legende &amp; Kriterien'!$C$14)))</f>
        <v/>
      </c>
      <c r="K62" s="81">
        <f>IF(P62="Rohstoffhandel","— Handel —",IF(J62="","k.A.",IF(J62&gt;=5000,"A: &gt;5 Mrd.",IF(J62&gt;=3000,"B: 3-5 Mrd.",IF(J62&gt;=1000,"C: 1-3 Mrd.","D: 0.1-1 Mrd.")))))</f>
        <v/>
      </c>
      <c r="L62" s="81" t="inlineStr">
        <is>
          <t>2025</t>
        </is>
      </c>
      <c r="M62" s="84" t="n">
        <v>8100</v>
      </c>
      <c r="N62" s="83" t="inlineStr">
        <is>
          <t>SIX: PMN</t>
        </is>
      </c>
      <c r="O62" s="81" t="inlineStr">
        <is>
          <t>publiziert</t>
        </is>
      </c>
      <c r="P62" s="81" t="inlineStr">
        <is>
          <t>im Band</t>
        </is>
      </c>
      <c r="Q62" s="83" t="n"/>
      <c r="R62" s="63" t="n"/>
      <c r="S62" s="63" t="n"/>
      <c r="T62" s="63" t="n"/>
      <c r="U62" s="64" t="n"/>
      <c r="V62" s="85" t="inlineStr">
        <is>
          <t>https://stockanalysis.com/quote/swx/PMN/financials/</t>
        </is>
      </c>
      <c r="W62" s="81" t="inlineStr">
        <is>
          <t>Phoenix Mecano</t>
        </is>
      </c>
      <c r="X62" s="86" t="inlineStr">
        <is>
          <t>Stellen suchen</t>
        </is>
      </c>
    </row>
    <row r="63" ht="15" customHeight="1" s="57">
      <c r="A63" s="59" t="n">
        <v>62</v>
      </c>
      <c r="B63" s="60" t="inlineStr">
        <is>
          <t>1</t>
        </is>
      </c>
      <c r="C63" s="59" t="inlineStr">
        <is>
          <t>Rieter</t>
        </is>
      </c>
      <c r="D63" s="59" t="inlineStr">
        <is>
          <t>Winterthur</t>
        </is>
      </c>
      <c r="E63" s="59" t="inlineStr">
        <is>
          <t>ZH</t>
        </is>
      </c>
      <c r="F63" s="61" t="inlineStr">
        <is>
          <t>Textilmaschinen</t>
        </is>
      </c>
      <c r="G63" s="61" t="inlineStr">
        <is>
          <t>Spinnereimaschinen, Systeme und Komponenten</t>
        </is>
      </c>
      <c r="H63" s="62" t="n">
        <v>685.1</v>
      </c>
      <c r="I63" s="59" t="inlineStr">
        <is>
          <t>CHF</t>
        </is>
      </c>
      <c r="J63" s="62">
        <f>IF(H63="","",H63*IF(I63="CHF",1,IF(I63="EUR",'Legende &amp; Kriterien'!$C$13,'Legende &amp; Kriterien'!$C$14)))</f>
        <v/>
      </c>
      <c r="K63" s="59">
        <f>IF(P63="Rohstoffhandel","— Handel —",IF(J63="","k.A.",IF(J63&gt;=5000,"A: &gt;5 Mrd.",IF(J63&gt;=3000,"B: 3-5 Mrd.",IF(J63&gt;=1000,"C: 1-3 Mrd.","D: 0.1-1 Mrd.")))))</f>
        <v/>
      </c>
      <c r="L63" s="59" t="inlineStr">
        <is>
          <t>2025</t>
        </is>
      </c>
      <c r="M63" s="62" t="n">
        <v>6380</v>
      </c>
      <c r="N63" s="61" t="inlineStr">
        <is>
          <t>SIX: RIEN</t>
        </is>
      </c>
      <c r="O63" s="59" t="inlineStr">
        <is>
          <t>publiziert</t>
        </is>
      </c>
      <c r="P63" s="59" t="inlineStr">
        <is>
          <t>im Band</t>
        </is>
      </c>
      <c r="Q63" s="61" t="n"/>
      <c r="R63" s="63" t="n"/>
      <c r="S63" s="63" t="n"/>
      <c r="T63" s="63" t="n"/>
      <c r="U63" s="64" t="n"/>
      <c r="V63" s="65" t="inlineStr">
        <is>
          <t>https://stockanalysis.com/quote/swx/RIEN/financials/</t>
        </is>
      </c>
      <c r="W63" s="59" t="inlineStr">
        <is>
          <t>Rieter</t>
        </is>
      </c>
      <c r="X63" s="66" t="inlineStr">
        <is>
          <t>Stellen suchen</t>
        </is>
      </c>
      <c r="Y63" s="67" t="inlineStr">
        <is>
          <t>https://live.solique.ch/rieter/en/internet</t>
        </is>
      </c>
    </row>
    <row r="64" ht="15" customHeight="1" s="57">
      <c r="A64" s="81" t="n">
        <v>63</v>
      </c>
      <c r="B64" s="82" t="inlineStr">
        <is>
          <t>2</t>
        </is>
      </c>
      <c r="C64" s="81" t="inlineStr">
        <is>
          <t>Jura Elektroapparate</t>
        </is>
      </c>
      <c r="D64" s="81" t="inlineStr">
        <is>
          <t>Niederbuchsiten</t>
        </is>
      </c>
      <c r="E64" s="81" t="inlineStr">
        <is>
          <t>SO</t>
        </is>
      </c>
      <c r="F64" s="83" t="inlineStr">
        <is>
          <t>Gerätetechnik</t>
        </is>
      </c>
      <c r="G64" s="83" t="inlineStr">
        <is>
          <t>Kaffeevollautomaten für Haushalt und Büro</t>
        </is>
      </c>
      <c r="H64" s="84" t="n">
        <v>658.3</v>
      </c>
      <c r="I64" s="81" t="inlineStr">
        <is>
          <t>CHF</t>
        </is>
      </c>
      <c r="J64" s="84">
        <f>IF(H64="","",H64*IF(I64="CHF",1,IF(I64="EUR",'Legende &amp; Kriterien'!$C$13,'Legende &amp; Kriterien'!$C$14)))</f>
        <v/>
      </c>
      <c r="K64" s="81">
        <f>IF(P64="Rohstoffhandel","— Handel —",IF(J64="","k.A.",IF(J64&gt;=5000,"A: &gt;5 Mrd.",IF(J64&gt;=3000,"B: 3-5 Mrd.",IF(J64&gt;=1000,"C: 1-3 Mrd.","D: 0.1-1 Mrd.")))))</f>
        <v/>
      </c>
      <c r="L64" s="81" t="inlineStr">
        <is>
          <t>2023</t>
        </is>
      </c>
      <c r="M64" s="84" t="n">
        <v>800</v>
      </c>
      <c r="N64" s="83" t="inlineStr">
        <is>
          <t>Privat (Familie/Management)</t>
        </is>
      </c>
      <c r="O64" s="81" t="inlineStr">
        <is>
          <t>veraltet</t>
        </is>
      </c>
      <c r="P64" s="81" t="inlineStr">
        <is>
          <t>im Band</t>
        </is>
      </c>
      <c r="Q64" s="83" t="n"/>
      <c r="R64" s="63" t="n"/>
      <c r="S64" s="63" t="n"/>
      <c r="T64" s="63" t="n"/>
      <c r="U64" s="64" t="n"/>
      <c r="V64" s="85" t="inlineStr">
        <is>
          <t>https://www.cetoday.ch/elektro/2024-05-13/jura-investiert-in-innovation-design-und-service</t>
        </is>
      </c>
      <c r="W64" s="81" t="inlineStr">
        <is>
          <t>Jura Elektroapparate</t>
        </is>
      </c>
      <c r="X64" s="86" t="inlineStr">
        <is>
          <t>Stellen suchen</t>
        </is>
      </c>
    </row>
    <row r="65" ht="15" customHeight="1" s="57">
      <c r="A65" s="81" t="n">
        <v>64</v>
      </c>
      <c r="B65" s="82" t="inlineStr">
        <is>
          <t>2</t>
        </is>
      </c>
      <c r="C65" s="81" t="inlineStr">
        <is>
          <t>Feintool</t>
        </is>
      </c>
      <c r="D65" s="81" t="inlineStr">
        <is>
          <t>Lyss</t>
        </is>
      </c>
      <c r="E65" s="81" t="inlineStr">
        <is>
          <t>BE</t>
        </is>
      </c>
      <c r="F65" s="83" t="inlineStr">
        <is>
          <t>Umformtechnik</t>
        </is>
      </c>
      <c r="G65" s="83" t="inlineStr">
        <is>
          <t>Feinschneidteile, Elektroblech-Stanzpakete, Pressen</t>
        </is>
      </c>
      <c r="H65" s="84" t="n">
        <v>656.3</v>
      </c>
      <c r="I65" s="81" t="inlineStr">
        <is>
          <t>CHF</t>
        </is>
      </c>
      <c r="J65" s="84">
        <f>IF(H65="","",H65*IF(I65="CHF",1,IF(I65="EUR",'Legende &amp; Kriterien'!$C$13,'Legende &amp; Kriterien'!$C$14)))</f>
        <v/>
      </c>
      <c r="K65" s="81">
        <f>IF(P65="Rohstoffhandel","— Handel —",IF(J65="","k.A.",IF(J65&gt;=5000,"A: &gt;5 Mrd.",IF(J65&gt;=3000,"B: 3-5 Mrd.",IF(J65&gt;=1000,"C: 1-3 Mrd.","D: 0.1-1 Mrd.")))))</f>
        <v/>
      </c>
      <c r="L65" s="81" t="inlineStr">
        <is>
          <t>2025</t>
        </is>
      </c>
      <c r="M65" s="84" t="n">
        <v>2940</v>
      </c>
      <c r="N65" s="83" t="inlineStr">
        <is>
          <t>SIX: FTON</t>
        </is>
      </c>
      <c r="O65" s="81" t="inlineStr">
        <is>
          <t>publiziert</t>
        </is>
      </c>
      <c r="P65" s="81" t="inlineStr">
        <is>
          <t>im Band</t>
        </is>
      </c>
      <c r="Q65" s="83" t="n"/>
      <c r="R65" s="63" t="n"/>
      <c r="S65" s="63" t="n"/>
      <c r="T65" s="63" t="n"/>
      <c r="U65" s="64" t="n"/>
      <c r="V65" s="85" t="inlineStr">
        <is>
          <t>https://stockanalysis.com/quote/swx/FTON/financials/</t>
        </is>
      </c>
      <c r="W65" s="81" t="inlineStr">
        <is>
          <t>Feintool</t>
        </is>
      </c>
      <c r="X65" s="86" t="inlineStr">
        <is>
          <t>Stellen suchen</t>
        </is>
      </c>
    </row>
    <row r="66" ht="15" customHeight="1" s="57">
      <c r="A66" s="81" t="n">
        <v>65</v>
      </c>
      <c r="B66" s="82" t="inlineStr">
        <is>
          <t>2</t>
        </is>
      </c>
      <c r="C66" s="81" t="inlineStr">
        <is>
          <t>SAUTER Group</t>
        </is>
      </c>
      <c r="D66" s="81" t="inlineStr">
        <is>
          <t>Basel</t>
        </is>
      </c>
      <c r="E66" s="81" t="inlineStr">
        <is>
          <t>BS</t>
        </is>
      </c>
      <c r="F66" s="83" t="inlineStr">
        <is>
          <t>Gebäudetechnik</t>
        </is>
      </c>
      <c r="G66" s="83" t="inlineStr">
        <is>
          <t>Gebäudeautomation: Regler, Sensoren, Ventile, Antriebe</t>
        </is>
      </c>
      <c r="H66" s="84" t="n">
        <v>692</v>
      </c>
      <c r="I66" s="81" t="inlineStr">
        <is>
          <t>EUR</t>
        </is>
      </c>
      <c r="J66" s="84">
        <f>IF(H66="","",H66*IF(I66="CHF",1,IF(I66="EUR",'Legende &amp; Kriterien'!$C$13,'Legende &amp; Kriterien'!$C$14)))</f>
        <v/>
      </c>
      <c r="K66" s="81">
        <f>IF(P66="Rohstoffhandel","— Handel —",IF(J66="","k.A.",IF(J66&gt;=5000,"A: &gt;5 Mrd.",IF(J66&gt;=3000,"B: 3-5 Mrd.",IF(J66&gt;=1000,"C: 1-3 Mrd.","D: 0.1-1 Mrd.")))))</f>
        <v/>
      </c>
      <c r="L66" s="81" t="inlineStr">
        <is>
          <t>k.A.</t>
        </is>
      </c>
      <c r="M66" s="84" t="n">
        <v>3387</v>
      </c>
      <c r="N66" s="83" t="inlineStr">
        <is>
          <t>Familie Sauter</t>
        </is>
      </c>
      <c r="O66" s="81" t="inlineStr">
        <is>
          <t>geschätzt</t>
        </is>
      </c>
      <c r="P66" s="81" t="inlineStr">
        <is>
          <t>im Band</t>
        </is>
      </c>
      <c r="Q66" s="83" t="n"/>
      <c r="R66" s="63" t="n"/>
      <c r="S66" s="63" t="n"/>
      <c r="T66" s="63" t="n"/>
      <c r="U66" s="64" t="n"/>
      <c r="V66" s="85" t="inlineStr">
        <is>
          <t>https://www.sauter-controls.com/</t>
        </is>
      </c>
      <c r="W66" s="81" t="inlineStr">
        <is>
          <t>Sauter</t>
        </is>
      </c>
      <c r="X66" s="86" t="inlineStr">
        <is>
          <t>Stellen suchen</t>
        </is>
      </c>
    </row>
    <row r="67" ht="15" customHeight="1" s="57">
      <c r="A67" s="81" t="n">
        <v>66</v>
      </c>
      <c r="B67" s="82" t="inlineStr">
        <is>
          <t>2</t>
        </is>
      </c>
      <c r="C67" s="81" t="inlineStr">
        <is>
          <t>Arbonia</t>
        </is>
      </c>
      <c r="D67" s="81" t="inlineStr">
        <is>
          <t>Arbon</t>
        </is>
      </c>
      <c r="E67" s="81" t="inlineStr">
        <is>
          <t>TG</t>
        </is>
      </c>
      <c r="F67" s="83" t="inlineStr">
        <is>
          <t>Bautechnik</t>
        </is>
      </c>
      <c r="G67" s="83" t="inlineStr">
        <is>
          <t>Innen- und Funktionstüren, Bauglas, Dachfenster</t>
        </is>
      </c>
      <c r="H67" s="84" t="n">
        <v>624.5</v>
      </c>
      <c r="I67" s="81" t="inlineStr">
        <is>
          <t>CHF</t>
        </is>
      </c>
      <c r="J67" s="84">
        <f>IF(H67="","",H67*IF(I67="CHF",1,IF(I67="EUR",'Legende &amp; Kriterien'!$C$13,'Legende &amp; Kriterien'!$C$14)))</f>
        <v/>
      </c>
      <c r="K67" s="81">
        <f>IF(P67="Rohstoffhandel","— Handel —",IF(J67="","k.A.",IF(J67&gt;=5000,"A: &gt;5 Mrd.",IF(J67&gt;=3000,"B: 3-5 Mrd.",IF(J67&gt;=1000,"C: 1-3 Mrd.","D: 0.1-1 Mrd.")))))</f>
        <v/>
      </c>
      <c r="L67" s="81" t="inlineStr">
        <is>
          <t>2025</t>
        </is>
      </c>
      <c r="M67" s="84" t="n">
        <v>3600</v>
      </c>
      <c r="N67" s="83" t="inlineStr">
        <is>
          <t>SIX: ARBN</t>
        </is>
      </c>
      <c r="O67" s="81" t="inlineStr">
        <is>
          <t>publiziert</t>
        </is>
      </c>
      <c r="P67" s="81" t="inlineStr">
        <is>
          <t>im Band</t>
        </is>
      </c>
      <c r="Q67" s="83" t="n"/>
      <c r="R67" s="63" t="n"/>
      <c r="S67" s="63" t="n"/>
      <c r="T67" s="63" t="n"/>
      <c r="U67" s="64" t="n"/>
      <c r="V67" s="85" t="inlineStr">
        <is>
          <t>https://www.cash.ch/news/top-news/arbonia-steigert-2025-umsatz-und-weist-verlust-aus-914119</t>
        </is>
      </c>
      <c r="W67" s="81" t="inlineStr">
        <is>
          <t>Arbonia</t>
        </is>
      </c>
      <c r="X67" s="86" t="inlineStr">
        <is>
          <t>Stellen suchen</t>
        </is>
      </c>
    </row>
    <row r="68" ht="15" customHeight="1" s="57">
      <c r="A68" s="81" t="n">
        <v>67</v>
      </c>
      <c r="B68" s="82" t="inlineStr">
        <is>
          <t>3</t>
        </is>
      </c>
      <c r="C68" s="81" t="inlineStr">
        <is>
          <t>Eugster/Frismag</t>
        </is>
      </c>
      <c r="D68" s="81" t="inlineStr">
        <is>
          <t>Amriswil</t>
        </is>
      </c>
      <c r="E68" s="81" t="inlineStr">
        <is>
          <t>TG</t>
        </is>
      </c>
      <c r="F68" s="83" t="inlineStr">
        <is>
          <t>Gerätetechnik OEM</t>
        </is>
      </c>
      <c r="G68" s="83" t="inlineStr">
        <is>
          <t>OEM-Kaffeevollautomaten und Haushaltgeräte für Fremdmarken</t>
        </is>
      </c>
      <c r="H68" s="84" t="n">
        <v>620</v>
      </c>
      <c r="I68" s="81" t="inlineStr">
        <is>
          <t>CHF</t>
        </is>
      </c>
      <c r="J68" s="84">
        <f>IF(H68="","",H68*IF(I68="CHF",1,IF(I68="EUR",'Legende &amp; Kriterien'!$C$13,'Legende &amp; Kriterien'!$C$14)))</f>
        <v/>
      </c>
      <c r="K68" s="81">
        <f>IF(P68="Rohstoffhandel","— Handel —",IF(J68="","k.A.",IF(J68&gt;=5000,"A: &gt;5 Mrd.",IF(J68&gt;=3000,"B: 3-5 Mrd.",IF(J68&gt;=1000,"C: 1-3 Mrd.","D: 0.1-1 Mrd.")))))</f>
        <v/>
      </c>
      <c r="L68" s="81" t="inlineStr">
        <is>
          <t>2021</t>
        </is>
      </c>
      <c r="M68" s="84" t="n">
        <v>3600</v>
      </c>
      <c r="N68" s="83" t="inlineStr">
        <is>
          <t>Familie Eugster (100%)</t>
        </is>
      </c>
      <c r="O68" s="81" t="inlineStr">
        <is>
          <t>veraltet</t>
        </is>
      </c>
      <c r="P68" s="81" t="inlineStr">
        <is>
          <t>im Band</t>
        </is>
      </c>
      <c r="Q68" s="83" t="n"/>
      <c r="R68" s="63" t="n"/>
      <c r="S68" s="63" t="n"/>
      <c r="T68" s="63" t="n"/>
      <c r="U68" s="64" t="n"/>
      <c r="V68" s="85" t="inlineStr">
        <is>
          <t>https://dewiki.de/Lexikon/Eugster/Frismag</t>
        </is>
      </c>
      <c r="W68" s="81" t="inlineStr">
        <is>
          <t>Eugster Frismag</t>
        </is>
      </c>
      <c r="X68" s="86" t="inlineStr">
        <is>
          <t>Stellen suchen</t>
        </is>
      </c>
    </row>
    <row r="69" ht="15" customHeight="1" s="57">
      <c r="A69" s="81" t="n">
        <v>68</v>
      </c>
      <c r="B69" s="82" t="inlineStr">
        <is>
          <t>2</t>
        </is>
      </c>
      <c r="C69" s="81" t="inlineStr">
        <is>
          <t>Cicor</t>
        </is>
      </c>
      <c r="D69" s="81" t="inlineStr">
        <is>
          <t>Bronschhofen (Wil)</t>
        </is>
      </c>
      <c r="E69" s="81" t="inlineStr">
        <is>
          <t>SG</t>
        </is>
      </c>
      <c r="F69" s="83" t="inlineStr">
        <is>
          <t>Elektronik/EMS</t>
        </is>
      </c>
      <c r="G69" s="83" t="inlineStr">
        <is>
          <t>Elektronikfertigung, Leiterplatten, Mikroelektronik</t>
        </is>
      </c>
      <c r="H69" s="84" t="n">
        <v>616.5</v>
      </c>
      <c r="I69" s="81" t="inlineStr">
        <is>
          <t>CHF</t>
        </is>
      </c>
      <c r="J69" s="84">
        <f>IF(H69="","",H69*IF(I69="CHF",1,IF(I69="EUR",'Legende &amp; Kriterien'!$C$13,'Legende &amp; Kriterien'!$C$14)))</f>
        <v/>
      </c>
      <c r="K69" s="81">
        <f>IF(P69="Rohstoffhandel","— Handel —",IF(J69="","k.A.",IF(J69&gt;=5000,"A: &gt;5 Mrd.",IF(J69&gt;=3000,"B: 3-5 Mrd.",IF(J69&gt;=1000,"C: 1-3 Mrd.","D: 0.1-1 Mrd.")))))</f>
        <v/>
      </c>
      <c r="L69" s="81" t="inlineStr">
        <is>
          <t>2025</t>
        </is>
      </c>
      <c r="M69" s="84" t="n">
        <v>4520</v>
      </c>
      <c r="N69" s="83" t="inlineStr">
        <is>
          <t>SIX: CICN</t>
        </is>
      </c>
      <c r="O69" s="81" t="inlineStr">
        <is>
          <t>publiziert</t>
        </is>
      </c>
      <c r="P69" s="81" t="inlineStr">
        <is>
          <t>im Band</t>
        </is>
      </c>
      <c r="Q69" s="83" t="n"/>
      <c r="R69" s="63" t="n"/>
      <c r="S69" s="63" t="n"/>
      <c r="T69" s="63" t="n"/>
      <c r="U69" s="64" t="n"/>
      <c r="V69" s="85" t="inlineStr">
        <is>
          <t>https://report.cicor.com/ar25/key-figures</t>
        </is>
      </c>
      <c r="W69" s="81" t="inlineStr">
        <is>
          <t>Cicor</t>
        </is>
      </c>
      <c r="X69" s="86" t="inlineStr">
        <is>
          <t>Stellen suchen</t>
        </is>
      </c>
    </row>
    <row r="70" ht="15" customHeight="1" s="57">
      <c r="A70" s="81" t="n">
        <v>69</v>
      </c>
      <c r="B70" s="82" t="inlineStr">
        <is>
          <t>2</t>
        </is>
      </c>
      <c r="C70" s="81" t="inlineStr">
        <is>
          <t>Bystronic</t>
        </is>
      </c>
      <c r="D70" s="81" t="inlineStr">
        <is>
          <t>Niederönz</t>
        </is>
      </c>
      <c r="E70" s="81" t="inlineStr">
        <is>
          <t>BE</t>
        </is>
      </c>
      <c r="F70" s="83" t="inlineStr">
        <is>
          <t>Werkzeugmaschinen</t>
        </is>
      </c>
      <c r="G70" s="83" t="inlineStr">
        <is>
          <t>Laserschneidanlagen, Abkantpressen, Automation Blech</t>
        </is>
      </c>
      <c r="H70" s="84" t="n">
        <v>613.2</v>
      </c>
      <c r="I70" s="81" t="inlineStr">
        <is>
          <t>CHF</t>
        </is>
      </c>
      <c r="J70" s="84">
        <f>IF(H70="","",H70*IF(I70="CHF",1,IF(I70="EUR",'Legende &amp; Kriterien'!$C$13,'Legende &amp; Kriterien'!$C$14)))</f>
        <v/>
      </c>
      <c r="K70" s="81">
        <f>IF(P70="Rohstoffhandel","— Handel —",IF(J70="","k.A.",IF(J70&gt;=5000,"A: &gt;5 Mrd.",IF(J70&gt;=3000,"B: 3-5 Mrd.",IF(J70&gt;=1000,"C: 1-3 Mrd.","D: 0.1-1 Mrd.")))))</f>
        <v/>
      </c>
      <c r="L70" s="81" t="inlineStr">
        <is>
          <t>2025</t>
        </is>
      </c>
      <c r="M70" s="84" t="n">
        <v>3060</v>
      </c>
      <c r="N70" s="83" t="inlineStr">
        <is>
          <t>SIX: BYS</t>
        </is>
      </c>
      <c r="O70" s="81" t="inlineStr">
        <is>
          <t>publiziert</t>
        </is>
      </c>
      <c r="P70" s="81" t="inlineStr">
        <is>
          <t>im Band</t>
        </is>
      </c>
      <c r="Q70" s="83" t="n"/>
      <c r="R70" s="63" t="n"/>
      <c r="S70" s="63" t="n"/>
      <c r="T70" s="63" t="n"/>
      <c r="U70" s="64" t="n"/>
      <c r="V70" s="85" t="inlineStr">
        <is>
          <t>https://mtdcnc.com/news/bystronic/bystronic-reports-strong-2025-results-despite-economic-challenges/</t>
        </is>
      </c>
      <c r="W70" s="81" t="inlineStr">
        <is>
          <t>Bystronic</t>
        </is>
      </c>
      <c r="X70" s="86" t="inlineStr">
        <is>
          <t>Stellen suchen</t>
        </is>
      </c>
    </row>
    <row r="71" ht="15" customHeight="1" s="57">
      <c r="A71" s="81" t="n">
        <v>70</v>
      </c>
      <c r="B71" s="82" t="inlineStr">
        <is>
          <t>3</t>
        </is>
      </c>
      <c r="C71" s="81" t="inlineStr">
        <is>
          <t>Medela</t>
        </is>
      </c>
      <c r="D71" s="81" t="inlineStr">
        <is>
          <t>Baar</t>
        </is>
      </c>
      <c r="E71" s="81" t="inlineStr">
        <is>
          <t>ZG</t>
        </is>
      </c>
      <c r="F71" s="83" t="inlineStr">
        <is>
          <t>Medtech</t>
        </is>
      </c>
      <c r="G71" s="83" t="inlineStr">
        <is>
          <t>Milchpumpen, medizinische Vakuumtechnik, Wundtherapie</t>
        </is>
      </c>
      <c r="H71" s="84" t="n">
        <v>600</v>
      </c>
      <c r="I71" s="81" t="inlineStr">
        <is>
          <t>CHF</t>
        </is>
      </c>
      <c r="J71" s="84">
        <f>IF(H71="","",H71*IF(I71="CHF",1,IF(I71="EUR",'Legende &amp; Kriterien'!$C$13,'Legende &amp; Kriterien'!$C$14)))</f>
        <v/>
      </c>
      <c r="K71" s="81">
        <f>IF(P71="Rohstoffhandel","— Handel —",IF(J71="","k.A.",IF(J71&gt;=5000,"A: &gt;5 Mrd.",IF(J71&gt;=3000,"B: 3-5 Mrd.",IF(J71&gt;=1000,"C: 1-3 Mrd.","D: 0.1-1 Mrd.")))))</f>
        <v/>
      </c>
      <c r="L71" s="81" t="inlineStr">
        <is>
          <t>k.A.</t>
        </is>
      </c>
      <c r="M71" s="84" t="n">
        <v>1700</v>
      </c>
      <c r="N71" s="83" t="inlineStr">
        <is>
          <t>Familie Larsson (100%)</t>
        </is>
      </c>
      <c r="O71" s="81" t="inlineStr">
        <is>
          <t>geschätzt</t>
        </is>
      </c>
      <c r="P71" s="81" t="inlineStr">
        <is>
          <t>im Band</t>
        </is>
      </c>
      <c r="Q71" s="83" t="inlineStr">
        <is>
          <t>Publiziert keine Zahlen</t>
        </is>
      </c>
      <c r="R71" s="63" t="n"/>
      <c r="S71" s="63" t="n"/>
      <c r="T71" s="63" t="n"/>
      <c r="U71" s="64" t="n"/>
      <c r="V71" s="85" t="inlineStr">
        <is>
          <t>https://de.wikipedia.org/wiki/Medela</t>
        </is>
      </c>
      <c r="W71" s="81" t="inlineStr">
        <is>
          <t>Medela</t>
        </is>
      </c>
      <c r="X71" s="86" t="inlineStr">
        <is>
          <t>Stellen suchen</t>
        </is>
      </c>
    </row>
    <row r="72" ht="15" customHeight="1" s="57">
      <c r="A72" s="59" t="n">
        <v>71</v>
      </c>
      <c r="B72" s="60" t="inlineStr">
        <is>
          <t>1</t>
        </is>
      </c>
      <c r="C72" s="59" t="inlineStr">
        <is>
          <t>maxon group</t>
        </is>
      </c>
      <c r="D72" s="59" t="inlineStr">
        <is>
          <t>Sachseln</t>
        </is>
      </c>
      <c r="E72" s="59" t="inlineStr">
        <is>
          <t>OW</t>
        </is>
      </c>
      <c r="F72" s="61" t="inlineStr">
        <is>
          <t>Antriebstechnik</t>
        </is>
      </c>
      <c r="G72" s="61" t="inlineStr">
        <is>
          <t>Präzisions-Kleinantriebe, Getriebe, Steuerungen, Mechatronik</t>
        </is>
      </c>
      <c r="H72" s="62" t="n">
        <v>595</v>
      </c>
      <c r="I72" s="59" t="inlineStr">
        <is>
          <t>CHF</t>
        </is>
      </c>
      <c r="J72" s="62">
        <f>IF(H72="","",H72*IF(I72="CHF",1,IF(I72="EUR",'Legende &amp; Kriterien'!$C$13,'Legende &amp; Kriterien'!$C$14)))</f>
        <v/>
      </c>
      <c r="K72" s="59">
        <f>IF(P72="Rohstoffhandel","— Handel —",IF(J72="","k.A.",IF(J72&gt;=5000,"A: &gt;5 Mrd.",IF(J72&gt;=3000,"B: 3-5 Mrd.",IF(J72&gt;=1000,"C: 1-3 Mrd.","D: 0.1-1 Mrd.")))))</f>
        <v/>
      </c>
      <c r="L72" s="59" t="inlineStr">
        <is>
          <t>2025</t>
        </is>
      </c>
      <c r="M72" s="62" t="n">
        <v>3500</v>
      </c>
      <c r="N72" s="61" t="inlineStr">
        <is>
          <t>Familie Braun (Interelectric)</t>
        </is>
      </c>
      <c r="O72" s="59" t="inlineStr">
        <is>
          <t>publiziert</t>
        </is>
      </c>
      <c r="P72" s="59" t="inlineStr">
        <is>
          <t>im Band</t>
        </is>
      </c>
      <c r="Q72" s="61" t="n"/>
      <c r="R72" s="63" t="n"/>
      <c r="S72" s="63" t="n"/>
      <c r="T72" s="63" t="n"/>
      <c r="U72" s="64" t="n"/>
      <c r="V72" s="65" t="inlineStr">
        <is>
          <t>https://www.cash.ch/news/maxon-halt-umsatz-stabil-neue-prasidentin-947917</t>
        </is>
      </c>
      <c r="W72" s="59" t="inlineStr">
        <is>
          <t>maxon motor</t>
        </is>
      </c>
      <c r="X72" s="66" t="inlineStr">
        <is>
          <t>Stellen suchen</t>
        </is>
      </c>
      <c r="Y72" s="67" t="inlineStr">
        <is>
          <t>https://recruiting.maxongroup.com/Jobs/All?lang=de</t>
        </is>
      </c>
    </row>
    <row r="73" ht="15" customHeight="1" s="57">
      <c r="A73" s="59" t="n">
        <v>72</v>
      </c>
      <c r="B73" s="60" t="inlineStr">
        <is>
          <t>1</t>
        </is>
      </c>
      <c r="C73" s="59" t="inlineStr">
        <is>
          <t>Komax</t>
        </is>
      </c>
      <c r="D73" s="59" t="inlineStr">
        <is>
          <t>Dierikon</t>
        </is>
      </c>
      <c r="E73" s="59" t="inlineStr">
        <is>
          <t>LU</t>
        </is>
      </c>
      <c r="F73" s="61" t="inlineStr">
        <is>
          <t>Automation/Maschinenbau</t>
        </is>
      </c>
      <c r="G73" s="61" t="inlineStr">
        <is>
          <t>Maschinen für Kabelverarbeitung und Kabelbaumfertigung</t>
        </is>
      </c>
      <c r="H73" s="62" t="n">
        <v>575.6</v>
      </c>
      <c r="I73" s="59" t="inlineStr">
        <is>
          <t>CHF</t>
        </is>
      </c>
      <c r="J73" s="62">
        <f>IF(H73="","",H73*IF(I73="CHF",1,IF(I73="EUR",'Legende &amp; Kriterien'!$C$13,'Legende &amp; Kriterien'!$C$14)))</f>
        <v/>
      </c>
      <c r="K73" s="59">
        <f>IF(P73="Rohstoffhandel","— Handel —",IF(J73="","k.A.",IF(J73&gt;=5000,"A: &gt;5 Mrd.",IF(J73&gt;=3000,"B: 3-5 Mrd.",IF(J73&gt;=1000,"C: 1-3 Mrd.","D: 0.1-1 Mrd.")))))</f>
        <v/>
      </c>
      <c r="L73" s="59" t="inlineStr">
        <is>
          <t>2025</t>
        </is>
      </c>
      <c r="M73" s="62" t="n">
        <v>3030</v>
      </c>
      <c r="N73" s="61" t="inlineStr">
        <is>
          <t>SIX: KOMN</t>
        </is>
      </c>
      <c r="O73" s="59" t="inlineStr">
        <is>
          <t>publiziert</t>
        </is>
      </c>
      <c r="P73" s="59" t="inlineStr">
        <is>
          <t>im Band</t>
        </is>
      </c>
      <c r="Q73" s="61" t="n"/>
      <c r="R73" s="63" t="n"/>
      <c r="S73" s="63" t="n"/>
      <c r="T73" s="63" t="n"/>
      <c r="U73" s="64" t="n"/>
      <c r="V73" s="65" t="inlineStr">
        <is>
          <t>https://stockanalysis.com/quote/swx/KOMN/financials/</t>
        </is>
      </c>
      <c r="W73" s="59" t="inlineStr">
        <is>
          <t>Komax</t>
        </is>
      </c>
      <c r="X73" s="66" t="inlineStr">
        <is>
          <t>Stellen suchen</t>
        </is>
      </c>
      <c r="Y73" s="67" t="inlineStr">
        <is>
          <t>https://www.jobs.ch/de/firmen/791-komax-group/stellenangebote/</t>
        </is>
      </c>
    </row>
    <row r="74" ht="23.25" customHeight="1" s="57">
      <c r="A74" s="81" t="n">
        <v>73</v>
      </c>
      <c r="B74" s="82" t="inlineStr">
        <is>
          <t>2</t>
        </is>
      </c>
      <c r="C74" s="81" t="inlineStr">
        <is>
          <t>V-ZUG</t>
        </is>
      </c>
      <c r="D74" s="81" t="inlineStr">
        <is>
          <t>Zug</t>
        </is>
      </c>
      <c r="E74" s="81" t="inlineStr">
        <is>
          <t>ZG</t>
        </is>
      </c>
      <c r="F74" s="83" t="inlineStr">
        <is>
          <t>Hausgerätetechnik</t>
        </is>
      </c>
      <c r="G74" s="83" t="inlineStr">
        <is>
          <t>Küchen- und Waschraumgeräte: Backöfen, Steamer, Waschmaschinen</t>
        </is>
      </c>
      <c r="H74" s="84" t="n">
        <v>567.5</v>
      </c>
      <c r="I74" s="81" t="inlineStr">
        <is>
          <t>CHF</t>
        </is>
      </c>
      <c r="J74" s="84">
        <f>IF(H74="","",H74*IF(I74="CHF",1,IF(I74="EUR",'Legende &amp; Kriterien'!$C$13,'Legende &amp; Kriterien'!$C$14)))</f>
        <v/>
      </c>
      <c r="K74" s="81">
        <f>IF(P74="Rohstoffhandel","— Handel —",IF(J74="","k.A.",IF(J74&gt;=5000,"A: &gt;5 Mrd.",IF(J74&gt;=3000,"B: 3-5 Mrd.",IF(J74&gt;=1000,"C: 1-3 Mrd.","D: 0.1-1 Mrd.")))))</f>
        <v/>
      </c>
      <c r="L74" s="81" t="inlineStr">
        <is>
          <t>2025</t>
        </is>
      </c>
      <c r="M74" s="84" t="n">
        <v>2040</v>
      </c>
      <c r="N74" s="83" t="inlineStr">
        <is>
          <t>SIX: VZUG</t>
        </is>
      </c>
      <c r="O74" s="81" t="inlineStr">
        <is>
          <t>publiziert</t>
        </is>
      </c>
      <c r="P74" s="81" t="inlineStr">
        <is>
          <t>im Band</t>
        </is>
      </c>
      <c r="Q74" s="83" t="n"/>
      <c r="R74" s="63" t="n"/>
      <c r="S74" s="63" t="n"/>
      <c r="T74" s="63" t="n"/>
      <c r="U74" s="64" t="n"/>
      <c r="V74" s="85" t="inlineStr">
        <is>
          <t>https://stockanalysis.com/quote/swx/VZUG/financials/</t>
        </is>
      </c>
      <c r="W74" s="81" t="inlineStr">
        <is>
          <t>V-ZUG</t>
        </is>
      </c>
      <c r="X74" s="86" t="inlineStr">
        <is>
          <t>Stellen suchen</t>
        </is>
      </c>
    </row>
    <row r="75" ht="15" customHeight="1" s="57">
      <c r="A75" s="81" t="n">
        <v>74</v>
      </c>
      <c r="B75" s="82" t="inlineStr">
        <is>
          <t>3</t>
        </is>
      </c>
      <c r="C75" s="81" t="inlineStr">
        <is>
          <t>Acrotec Group</t>
        </is>
      </c>
      <c r="D75" s="81" t="inlineStr">
        <is>
          <t>Delémont</t>
        </is>
      </c>
      <c r="E75" s="81" t="inlineStr">
        <is>
          <t>JU</t>
        </is>
      </c>
      <c r="F75" s="83" t="inlineStr">
        <is>
          <t>Präzisionsfertigung</t>
        </is>
      </c>
      <c r="G75" s="83" t="inlineStr">
        <is>
          <t>Hochpräzisionsteile für Uhren, Medtech, Mikromechanik</t>
        </is>
      </c>
      <c r="H75" s="84" t="n">
        <v>550</v>
      </c>
      <c r="I75" s="81" t="inlineStr">
        <is>
          <t>CHF</t>
        </is>
      </c>
      <c r="J75" s="84">
        <f>IF(H75="","",H75*IF(I75="CHF",1,IF(I75="EUR",'Legende &amp; Kriterien'!$C$13,'Legende &amp; Kriterien'!$C$14)))</f>
        <v/>
      </c>
      <c r="K75" s="81">
        <f>IF(P75="Rohstoffhandel","— Handel —",IF(J75="","k.A.",IF(J75&gt;=5000,"A: &gt;5 Mrd.",IF(J75&gt;=3000,"B: 3-5 Mrd.",IF(J75&gt;=1000,"C: 1-3 Mrd.","D: 0.1-1 Mrd.")))))</f>
        <v/>
      </c>
      <c r="L75" s="81" t="inlineStr">
        <is>
          <t>2022</t>
        </is>
      </c>
      <c r="M75" s="84" t="n">
        <v>2600</v>
      </c>
      <c r="N75" s="83" t="inlineStr">
        <is>
          <t>Private Equity: Carlyle</t>
        </is>
      </c>
      <c r="O75" s="81" t="inlineStr">
        <is>
          <t>geschätzt</t>
        </is>
      </c>
      <c r="P75" s="81" t="inlineStr">
        <is>
          <t>im Band</t>
        </is>
      </c>
      <c r="Q75" s="83" t="n"/>
      <c r="R75" s="63" t="n"/>
      <c r="S75" s="63" t="n"/>
      <c r="T75" s="63" t="n"/>
      <c r="U75" s="64" t="n"/>
      <c r="V75" s="85" t="inlineStr">
        <is>
          <t>https://www.cash.ch/borsen-ticker/unternehmen/acrotec-knackt-500-millionen-schwelle-beim-umsatz-562189</t>
        </is>
      </c>
      <c r="W75" s="81" t="inlineStr">
        <is>
          <t>Acrotec</t>
        </is>
      </c>
      <c r="X75" s="86" t="inlineStr">
        <is>
          <t>Stellen suchen</t>
        </is>
      </c>
    </row>
    <row r="76" ht="15" customHeight="1" s="57">
      <c r="A76" s="81" t="n">
        <v>75</v>
      </c>
      <c r="B76" s="82" t="inlineStr">
        <is>
          <t>2</t>
        </is>
      </c>
      <c r="C76" s="81" t="inlineStr">
        <is>
          <t>INFICON</t>
        </is>
      </c>
      <c r="D76" s="81" t="inlineStr">
        <is>
          <t>Bad Ragaz</t>
        </is>
      </c>
      <c r="E76" s="81" t="inlineStr">
        <is>
          <t>SG</t>
        </is>
      </c>
      <c r="F76" s="83" t="inlineStr">
        <is>
          <t>Sensorik/Messtechnik</t>
        </is>
      </c>
      <c r="G76" s="83" t="inlineStr">
        <is>
          <t>Vakuum-Messgeräte, Lecksucher, Prozessüberwachung Halbleiter</t>
        </is>
      </c>
      <c r="H76" s="84" t="n">
        <v>673.7</v>
      </c>
      <c r="I76" s="81" t="inlineStr">
        <is>
          <t>USD</t>
        </is>
      </c>
      <c r="J76" s="84">
        <f>IF(H76="","",H76*IF(I76="CHF",1,IF(I76="EUR",'Legende &amp; Kriterien'!$C$13,'Legende &amp; Kriterien'!$C$14)))</f>
        <v/>
      </c>
      <c r="K76" s="81">
        <f>IF(P76="Rohstoffhandel","— Handel —",IF(J76="","k.A.",IF(J76&gt;=5000,"A: &gt;5 Mrd.",IF(J76&gt;=3000,"B: 3-5 Mrd.",IF(J76&gt;=1000,"C: 1-3 Mrd.","D: 0.1-1 Mrd.")))))</f>
        <v/>
      </c>
      <c r="L76" s="81" t="inlineStr">
        <is>
          <t>2025</t>
        </is>
      </c>
      <c r="M76" s="84" t="n">
        <v>1730</v>
      </c>
      <c r="N76" s="83" t="inlineStr">
        <is>
          <t>SIX: IFCN</t>
        </is>
      </c>
      <c r="O76" s="81" t="inlineStr">
        <is>
          <t>publiziert</t>
        </is>
      </c>
      <c r="P76" s="81" t="inlineStr">
        <is>
          <t>im Band</t>
        </is>
      </c>
      <c r="Q76" s="83" t="n"/>
      <c r="R76" s="63" t="n"/>
      <c r="S76" s="63" t="n"/>
      <c r="T76" s="63" t="n"/>
      <c r="U76" s="64" t="n"/>
      <c r="V76" s="85" t="inlineStr">
        <is>
          <t>https://stockanalysis.com/quote/swx/IFCN/financials/</t>
        </is>
      </c>
      <c r="W76" s="81" t="inlineStr">
        <is>
          <t>INFICON</t>
        </is>
      </c>
      <c r="X76" s="86" t="inlineStr">
        <is>
          <t>Stellen suchen</t>
        </is>
      </c>
    </row>
    <row r="77" ht="15" customHeight="1" s="57">
      <c r="A77" s="59" t="n">
        <v>76</v>
      </c>
      <c r="B77" s="60" t="inlineStr">
        <is>
          <t>1</t>
        </is>
      </c>
      <c r="C77" s="59" t="inlineStr">
        <is>
          <t>Baumer Group</t>
        </is>
      </c>
      <c r="D77" s="59" t="inlineStr">
        <is>
          <t>Frauenfeld</t>
        </is>
      </c>
      <c r="E77" s="59" t="inlineStr">
        <is>
          <t>TG</t>
        </is>
      </c>
      <c r="F77" s="61" t="inlineStr">
        <is>
          <t>Sensorik/Automation</t>
        </is>
      </c>
      <c r="G77" s="61" t="inlineStr">
        <is>
          <t>Sensoren, Drehgeber, Prozessinstrumente, Bildverarbeitung</t>
        </is>
      </c>
      <c r="H77" s="62" t="n">
        <v>520</v>
      </c>
      <c r="I77" s="59" t="inlineStr">
        <is>
          <t>CHF</t>
        </is>
      </c>
      <c r="J77" s="62">
        <f>IF(H77="","",H77*IF(I77="CHF",1,IF(I77="EUR",'Legende &amp; Kriterien'!$C$13,'Legende &amp; Kriterien'!$C$14)))</f>
        <v/>
      </c>
      <c r="K77" s="59">
        <f>IF(P77="Rohstoffhandel","— Handel —",IF(J77="","k.A.",IF(J77&gt;=5000,"A: &gt;5 Mrd.",IF(J77&gt;=3000,"B: 3-5 Mrd.",IF(J77&gt;=1000,"C: 1-3 Mrd.","D: 0.1-1 Mrd.")))))</f>
        <v/>
      </c>
      <c r="L77" s="59" t="inlineStr">
        <is>
          <t>2022</t>
        </is>
      </c>
      <c r="M77" s="62" t="n">
        <v>2800</v>
      </c>
      <c r="N77" s="61" t="inlineStr">
        <is>
          <t>Familie Vietze (100%)</t>
        </is>
      </c>
      <c r="O77" s="59" t="inlineStr">
        <is>
          <t>veraltet</t>
        </is>
      </c>
      <c r="P77" s="59" t="inlineStr">
        <is>
          <t>im Band</t>
        </is>
      </c>
      <c r="Q77" s="61" t="n"/>
      <c r="R77" s="63" t="n"/>
      <c r="S77" s="63" t="n"/>
      <c r="T77" s="63" t="n"/>
      <c r="U77" s="64" t="n"/>
      <c r="V77" s="65" t="inlineStr">
        <is>
          <t>https://de.wikipedia.org/wiki/Baumer_Group</t>
        </is>
      </c>
      <c r="W77" s="59" t="inlineStr">
        <is>
          <t>Baumer</t>
        </is>
      </c>
      <c r="X77" s="66" t="inlineStr">
        <is>
          <t>Stellen suchen</t>
        </is>
      </c>
      <c r="Y77" s="67" t="inlineStr">
        <is>
          <t>https://jobs.baumer.com/ — nicht abrufbar ohne Rendern, Prospective-Widget</t>
        </is>
      </c>
    </row>
    <row r="78" ht="15" customHeight="1" s="57">
      <c r="A78" s="59" t="n">
        <v>77</v>
      </c>
      <c r="B78" s="60" t="inlineStr">
        <is>
          <t>1</t>
        </is>
      </c>
      <c r="C78" s="59" t="inlineStr">
        <is>
          <t>Interroll</t>
        </is>
      </c>
      <c r="D78" s="59" t="inlineStr">
        <is>
          <t>Sant'Antonino</t>
        </is>
      </c>
      <c r="E78" s="59" t="inlineStr">
        <is>
          <t>TI</t>
        </is>
      </c>
      <c r="F78" s="61" t="inlineStr">
        <is>
          <t>Intralogistik</t>
        </is>
      </c>
      <c r="G78" s="61" t="inlineStr">
        <is>
          <t>Rollen, Motorrollen, Förderer und Sorter für Materialfluss</t>
        </is>
      </c>
      <c r="H78" s="62" t="n">
        <v>514.2</v>
      </c>
      <c r="I78" s="59" t="inlineStr">
        <is>
          <t>CHF</t>
        </is>
      </c>
      <c r="J78" s="62">
        <f>IF(H78="","",H78*IF(I78="CHF",1,IF(I78="EUR",'Legende &amp; Kriterien'!$C$13,'Legende &amp; Kriterien'!$C$14)))</f>
        <v/>
      </c>
      <c r="K78" s="59">
        <f>IF(P78="Rohstoffhandel","— Handel —",IF(J78="","k.A.",IF(J78&gt;=5000,"A: &gt;5 Mrd.",IF(J78&gt;=3000,"B: 3-5 Mrd.",IF(J78&gt;=1000,"C: 1-3 Mrd.","D: 0.1-1 Mrd.")))))</f>
        <v/>
      </c>
      <c r="L78" s="59" t="inlineStr">
        <is>
          <t>2025</t>
        </is>
      </c>
      <c r="M78" s="62" t="n">
        <v>2400</v>
      </c>
      <c r="N78" s="61" t="inlineStr">
        <is>
          <t>SIX: INRN</t>
        </is>
      </c>
      <c r="O78" s="59" t="inlineStr">
        <is>
          <t>publiziert</t>
        </is>
      </c>
      <c r="P78" s="59" t="inlineStr">
        <is>
          <t>im Band</t>
        </is>
      </c>
      <c r="Q78" s="61" t="n"/>
      <c r="R78" s="63" t="n"/>
      <c r="S78" s="63" t="n"/>
      <c r="T78" s="63" t="n"/>
      <c r="U78" s="64" t="n"/>
      <c r="V78" s="65" t="inlineStr">
        <is>
          <t>https://www.interroll.com/news-events/press-releases</t>
        </is>
      </c>
      <c r="W78" s="59" t="inlineStr">
        <is>
          <t>Interroll</t>
        </is>
      </c>
      <c r="X78" s="66" t="inlineStr">
        <is>
          <t>Stellen suchen</t>
        </is>
      </c>
      <c r="Y78" s="67" t="inlineStr">
        <is>
          <t>https://www.interroll.com/company/careers/</t>
        </is>
      </c>
    </row>
    <row r="79" ht="15" customHeight="1" s="57">
      <c r="A79" s="59" t="n">
        <v>78</v>
      </c>
      <c r="B79" s="60" t="inlineStr">
        <is>
          <t>1</t>
        </is>
      </c>
      <c r="C79" s="59" t="inlineStr">
        <is>
          <t>Meier Tobler</t>
        </is>
      </c>
      <c r="D79" s="59" t="inlineStr">
        <is>
          <t>Schwerzenbach</t>
        </is>
      </c>
      <c r="E79" s="59" t="inlineStr">
        <is>
          <t>ZH</t>
        </is>
      </c>
      <c r="F79" s="61" t="inlineStr">
        <is>
          <t>Bautechnik/HLK</t>
        </is>
      </c>
      <c r="G79" s="61" t="inlineStr">
        <is>
          <t>Wärmepumpen, Heiz- und Klimasysteme, Service</t>
        </is>
      </c>
      <c r="H79" s="62" t="n">
        <v>496.6</v>
      </c>
      <c r="I79" s="59" t="inlineStr">
        <is>
          <t>CHF</t>
        </is>
      </c>
      <c r="J79" s="62">
        <f>IF(H79="","",H79*IF(I79="CHF",1,IF(I79="EUR",'Legende &amp; Kriterien'!$C$13,'Legende &amp; Kriterien'!$C$14)))</f>
        <v/>
      </c>
      <c r="K79" s="59">
        <f>IF(P79="Rohstoffhandel","— Handel —",IF(J79="","k.A.",IF(J79&gt;=5000,"A: &gt;5 Mrd.",IF(J79&gt;=3000,"B: 3-5 Mrd.",IF(J79&gt;=1000,"C: 1-3 Mrd.","D: 0.1-1 Mrd.")))))</f>
        <v/>
      </c>
      <c r="L79" s="59" t="inlineStr">
        <is>
          <t>2025</t>
        </is>
      </c>
      <c r="M79" s="62" t="n">
        <v>1260</v>
      </c>
      <c r="N79" s="61" t="inlineStr">
        <is>
          <t>SIX: MTG</t>
        </is>
      </c>
      <c r="O79" s="59" t="inlineStr">
        <is>
          <t>publiziert</t>
        </is>
      </c>
      <c r="P79" s="59" t="inlineStr">
        <is>
          <t>im Band</t>
        </is>
      </c>
      <c r="Q79" s="61" t="n"/>
      <c r="R79" s="63" t="n"/>
      <c r="S79" s="63" t="n"/>
      <c r="T79" s="63" t="n"/>
      <c r="U79" s="64" t="n"/>
      <c r="V79" s="65" t="inlineStr">
        <is>
          <t>https://stockanalysis.com/quote/swx/MTG/financials/</t>
        </is>
      </c>
      <c r="W79" s="59" t="inlineStr">
        <is>
          <t>Meier Tobler</t>
        </is>
      </c>
      <c r="X79" s="66" t="inlineStr">
        <is>
          <t>Stellen suchen</t>
        </is>
      </c>
      <c r="Y79" s="67" t="inlineStr">
        <is>
          <t>https://www.jobs.ch/en/companies/85876-meier-tobler-ag/vacancies/</t>
        </is>
      </c>
    </row>
    <row r="80" ht="15" customHeight="1" s="57">
      <c r="A80" s="59" t="n">
        <v>79</v>
      </c>
      <c r="B80" s="60" t="inlineStr">
        <is>
          <t>1</t>
        </is>
      </c>
      <c r="C80" s="59" t="inlineStr">
        <is>
          <t>Kistler Gruppe</t>
        </is>
      </c>
      <c r="D80" s="59" t="inlineStr">
        <is>
          <t>Winterthur</t>
        </is>
      </c>
      <c r="E80" s="59" t="inlineStr">
        <is>
          <t>ZH</t>
        </is>
      </c>
      <c r="F80" s="61" t="inlineStr">
        <is>
          <t>Sensorik/Messtechnik</t>
        </is>
      </c>
      <c r="G80" s="61" t="inlineStr">
        <is>
          <t>Piezoelektrische Sensoren für Druck, Kraft, Drehmoment</t>
        </is>
      </c>
      <c r="H80" s="62" t="n">
        <v>465</v>
      </c>
      <c r="I80" s="59" t="inlineStr">
        <is>
          <t>CHF</t>
        </is>
      </c>
      <c r="J80" s="62">
        <f>IF(H80="","",H80*IF(I80="CHF",1,IF(I80="EUR",'Legende &amp; Kriterien'!$C$13,'Legende &amp; Kriterien'!$C$14)))</f>
        <v/>
      </c>
      <c r="K80" s="59">
        <f>IF(P80="Rohstoffhandel","— Handel —",IF(J80="","k.A.",IF(J80&gt;=5000,"A: &gt;5 Mrd.",IF(J80&gt;=3000,"B: 3-5 Mrd.",IF(J80&gt;=1000,"C: 1-3 Mrd.","D: 0.1-1 Mrd.")))))</f>
        <v/>
      </c>
      <c r="L80" s="59" t="inlineStr">
        <is>
          <t>2023</t>
        </is>
      </c>
      <c r="M80" s="62" t="n">
        <v>2200</v>
      </c>
      <c r="N80" s="61" t="inlineStr">
        <is>
          <t>Familie Sonderegger</t>
        </is>
      </c>
      <c r="O80" s="59" t="inlineStr">
        <is>
          <t>veraltet</t>
        </is>
      </c>
      <c r="P80" s="59" t="inlineStr">
        <is>
          <t>im Band</t>
        </is>
      </c>
      <c r="Q80" s="61" t="n"/>
      <c r="R80" s="63" t="n"/>
      <c r="S80" s="63" t="n"/>
      <c r="T80" s="63" t="n"/>
      <c r="U80" s="64" t="n"/>
      <c r="V80" s="65" t="inlineStr">
        <is>
          <t>https://de.wikipedia.org/wiki/Kistler_Gruppe</t>
        </is>
      </c>
      <c r="W80" s="59" t="inlineStr">
        <is>
          <t>Kistler</t>
        </is>
      </c>
      <c r="X80" s="66" t="inlineStr">
        <is>
          <t>Stellen suchen</t>
        </is>
      </c>
      <c r="Y80" s="67" t="inlineStr">
        <is>
          <t>https://www.kistler.com/CH/de/kistler-stellenangebote/jobs</t>
        </is>
      </c>
    </row>
    <row r="81" ht="15" customHeight="1" s="57">
      <c r="A81" s="81" t="n">
        <v>80</v>
      </c>
      <c r="B81" s="82" t="inlineStr">
        <is>
          <t>3</t>
        </is>
      </c>
      <c r="C81" s="81" t="inlineStr">
        <is>
          <t>Comet Group</t>
        </is>
      </c>
      <c r="D81" s="81" t="inlineStr">
        <is>
          <t>Flamatt</t>
        </is>
      </c>
      <c r="E81" s="81" t="inlineStr">
        <is>
          <t>FR</t>
        </is>
      </c>
      <c r="F81" s="83" t="inlineStr">
        <is>
          <t>Halbleiter/Elektronik</t>
        </is>
      </c>
      <c r="G81" s="83" t="inlineStr">
        <is>
          <t>HF-Generatoren, Vakuumkondensatoren, Röntgenmodule</t>
        </is>
      </c>
      <c r="H81" s="84" t="n">
        <v>457</v>
      </c>
      <c r="I81" s="81" t="inlineStr">
        <is>
          <t>CHF</t>
        </is>
      </c>
      <c r="J81" s="84">
        <f>IF(H81="","",H81*IF(I81="CHF",1,IF(I81="EUR",'Legende &amp; Kriterien'!$C$13,'Legende &amp; Kriterien'!$C$14)))</f>
        <v/>
      </c>
      <c r="K81" s="81">
        <f>IF(P81="Rohstoffhandel","— Handel —",IF(J81="","k.A.",IF(J81&gt;=5000,"A: &gt;5 Mrd.",IF(J81&gt;=3000,"B: 3-5 Mrd.",IF(J81&gt;=1000,"C: 1-3 Mrd.","D: 0.1-1 Mrd.")))))</f>
        <v/>
      </c>
      <c r="L81" s="81" t="inlineStr">
        <is>
          <t>2025</t>
        </is>
      </c>
      <c r="M81" s="84" t="n">
        <v>1760</v>
      </c>
      <c r="N81" s="83" t="inlineStr">
        <is>
          <t>SIX: COTN</t>
        </is>
      </c>
      <c r="O81" s="81" t="inlineStr">
        <is>
          <t>publiziert</t>
        </is>
      </c>
      <c r="P81" s="81" t="inlineStr">
        <is>
          <t>im Band</t>
        </is>
      </c>
      <c r="Q81" s="83" t="n"/>
      <c r="R81" s="63" t="n"/>
      <c r="S81" s="63" t="n"/>
      <c r="T81" s="63" t="n"/>
      <c r="U81" s="64" t="n"/>
      <c r="V81" s="85" t="inlineStr">
        <is>
          <t>https://stockanalysis.com/quote/swx/COTN/financials/</t>
        </is>
      </c>
      <c r="W81" s="81" t="inlineStr">
        <is>
          <t>Comet</t>
        </is>
      </c>
      <c r="X81" s="86" t="inlineStr">
        <is>
          <t>Stellen suchen</t>
        </is>
      </c>
    </row>
    <row r="82" ht="15" customHeight="1" s="57">
      <c r="A82" s="81" t="n">
        <v>81</v>
      </c>
      <c r="B82" s="82" t="inlineStr">
        <is>
          <t>2</t>
        </is>
      </c>
      <c r="C82" s="81" t="inlineStr">
        <is>
          <t>medmix</t>
        </is>
      </c>
      <c r="D82" s="81" t="inlineStr">
        <is>
          <t>Baar</t>
        </is>
      </c>
      <c r="E82" s="81" t="inlineStr">
        <is>
          <t>ZG</t>
        </is>
      </c>
      <c r="F82" s="83" t="inlineStr">
        <is>
          <t>Medtech/Komponenten</t>
        </is>
      </c>
      <c r="G82" s="83" t="inlineStr">
        <is>
          <t>Präzisions-Applikations- und Mischsysteme</t>
        </is>
      </c>
      <c r="H82" s="84" t="n">
        <v>448</v>
      </c>
      <c r="I82" s="81" t="inlineStr">
        <is>
          <t>CHF</t>
        </is>
      </c>
      <c r="J82" s="84">
        <f>IF(H82="","",H82*IF(I82="CHF",1,IF(I82="EUR",'Legende &amp; Kriterien'!$C$13,'Legende &amp; Kriterien'!$C$14)))</f>
        <v/>
      </c>
      <c r="K82" s="81">
        <f>IF(P82="Rohstoffhandel","— Handel —",IF(J82="","k.A.",IF(J82&gt;=5000,"A: &gt;5 Mrd.",IF(J82&gt;=3000,"B: 3-5 Mrd.",IF(J82&gt;=1000,"C: 1-3 Mrd.","D: 0.1-1 Mrd.")))))</f>
        <v/>
      </c>
      <c r="L82" s="81" t="inlineStr">
        <is>
          <t>2025</t>
        </is>
      </c>
      <c r="M82" s="84" t="n">
        <v>2590</v>
      </c>
      <c r="N82" s="83" t="inlineStr">
        <is>
          <t>SIX: MEDX</t>
        </is>
      </c>
      <c r="O82" s="81" t="inlineStr">
        <is>
          <t>publiziert</t>
        </is>
      </c>
      <c r="P82" s="81" t="inlineStr">
        <is>
          <t>im Band</t>
        </is>
      </c>
      <c r="Q82" s="83" t="n"/>
      <c r="R82" s="63" t="n"/>
      <c r="S82" s="63" t="n"/>
      <c r="T82" s="63" t="n"/>
      <c r="U82" s="64" t="n"/>
      <c r="V82" s="85" t="inlineStr">
        <is>
          <t>https://stockanalysis.com/quote/swx/MEDX/financials/</t>
        </is>
      </c>
      <c r="W82" s="81" t="inlineStr">
        <is>
          <t>medmix</t>
        </is>
      </c>
      <c r="X82" s="86" t="inlineStr">
        <is>
          <t>Stellen suchen</t>
        </is>
      </c>
    </row>
    <row r="83" ht="15" customHeight="1" s="57">
      <c r="A83" s="81" t="n">
        <v>82</v>
      </c>
      <c r="B83" s="82" t="inlineStr">
        <is>
          <t>3</t>
        </is>
      </c>
      <c r="C83" s="81" t="inlineStr">
        <is>
          <t>StarragTornos</t>
        </is>
      </c>
      <c r="D83" s="81" t="inlineStr">
        <is>
          <t>Rorschacherberg</t>
        </is>
      </c>
      <c r="E83" s="81" t="inlineStr">
        <is>
          <t>SG</t>
        </is>
      </c>
      <c r="F83" s="83" t="inlineStr">
        <is>
          <t>Werkzeugmaschinen</t>
        </is>
      </c>
      <c r="G83" s="83" t="inlineStr">
        <is>
          <t>Präzisions-Werkzeugmaschinen, Fräs- und Drehautomaten</t>
        </is>
      </c>
      <c r="H83" s="84" t="n">
        <v>442.1</v>
      </c>
      <c r="I83" s="81" t="inlineStr">
        <is>
          <t>CHF</t>
        </is>
      </c>
      <c r="J83" s="84">
        <f>IF(H83="","",H83*IF(I83="CHF",1,IF(I83="EUR",'Legende &amp; Kriterien'!$C$13,'Legende &amp; Kriterien'!$C$14)))</f>
        <v/>
      </c>
      <c r="K83" s="81">
        <f>IF(P83="Rohstoffhandel","— Handel —",IF(J83="","k.A.",IF(J83&gt;=5000,"A: &gt;5 Mrd.",IF(J83&gt;=3000,"B: 3-5 Mrd.",IF(J83&gt;=1000,"C: 1-3 Mrd.","D: 0.1-1 Mrd.")))))</f>
        <v/>
      </c>
      <c r="L83" s="81" t="inlineStr">
        <is>
          <t>2025</t>
        </is>
      </c>
      <c r="M83" s="84" t="n">
        <v>1800</v>
      </c>
      <c r="N83" s="83" t="inlineStr">
        <is>
          <t>SIX: STGN</t>
        </is>
      </c>
      <c r="O83" s="81" t="inlineStr">
        <is>
          <t>publiziert</t>
        </is>
      </c>
      <c r="P83" s="81" t="inlineStr">
        <is>
          <t>im Band</t>
        </is>
      </c>
      <c r="Q83" s="83" t="inlineStr">
        <is>
          <t>Fusion Starrag/Tornos</t>
        </is>
      </c>
      <c r="R83" s="63" t="n"/>
      <c r="S83" s="63" t="n"/>
      <c r="T83" s="63" t="n"/>
      <c r="U83" s="64" t="n"/>
      <c r="V83" s="85" t="inlineStr">
        <is>
          <t>https://stockanalysis.com/quote/swx/STGN/financials/</t>
        </is>
      </c>
      <c r="W83" s="81" t="inlineStr">
        <is>
          <t>StarragTornos</t>
        </is>
      </c>
      <c r="X83" s="86" t="inlineStr">
        <is>
          <t>Stellen suchen</t>
        </is>
      </c>
    </row>
    <row r="84" ht="15" customHeight="1" s="57">
      <c r="A84" s="59" t="n">
        <v>83</v>
      </c>
      <c r="B84" s="60" t="inlineStr">
        <is>
          <t>1</t>
        </is>
      </c>
      <c r="C84" s="59" t="inlineStr">
        <is>
          <t>Reishauer</t>
        </is>
      </c>
      <c r="D84" s="59" t="inlineStr">
        <is>
          <t>Wallisellen</t>
        </is>
      </c>
      <c r="E84" s="59" t="inlineStr">
        <is>
          <t>ZH</t>
        </is>
      </c>
      <c r="F84" s="61" t="inlineStr">
        <is>
          <t>Werkzeugmaschinen</t>
        </is>
      </c>
      <c r="G84" s="61" t="inlineStr">
        <is>
          <t>Verzahnungsschleifmaschinen, Schleifwerkzeuge, Automation</t>
        </is>
      </c>
      <c r="H84" s="62" t="n">
        <v>431</v>
      </c>
      <c r="I84" s="59" t="inlineStr">
        <is>
          <t>CHF</t>
        </is>
      </c>
      <c r="J84" s="62">
        <f>IF(H84="","",H84*IF(I84="CHF",1,IF(I84="EUR",'Legende &amp; Kriterien'!$C$13,'Legende &amp; Kriterien'!$C$14)))</f>
        <v/>
      </c>
      <c r="K84" s="59">
        <f>IF(P84="Rohstoffhandel","— Handel —",IF(J84="","k.A.",IF(J84&gt;=5000,"A: &gt;5 Mrd.",IF(J84&gt;=3000,"B: 3-5 Mrd.",IF(J84&gt;=1000,"C: 1-3 Mrd.","D: 0.1-1 Mrd.")))))</f>
        <v/>
      </c>
      <c r="L84" s="59" t="inlineStr">
        <is>
          <t>2023</t>
        </is>
      </c>
      <c r="M84" s="62" t="n">
        <v>1654</v>
      </c>
      <c r="N84" s="61" t="inlineStr">
        <is>
          <t>Familie / OTC-X</t>
        </is>
      </c>
      <c r="O84" s="59" t="inlineStr">
        <is>
          <t>veraltet</t>
        </is>
      </c>
      <c r="P84" s="59" t="inlineStr">
        <is>
          <t>im Band</t>
        </is>
      </c>
      <c r="Q84" s="61" t="n"/>
      <c r="R84" s="63" t="n"/>
      <c r="S84" s="63" t="n"/>
      <c r="T84" s="63" t="n"/>
      <c r="U84" s="64" t="n"/>
      <c r="V84" s="65" t="inlineStr">
        <is>
          <t>https://www.reishauer.com/</t>
        </is>
      </c>
      <c r="W84" s="59" t="inlineStr">
        <is>
          <t>Reishauer</t>
        </is>
      </c>
      <c r="X84" s="66" t="inlineStr">
        <is>
          <t>Stellen suchen</t>
        </is>
      </c>
      <c r="Y84" s="67" t="inlineStr">
        <is>
          <t>https://jobs.reishauer.com/search/?locale=de_DE</t>
        </is>
      </c>
    </row>
    <row r="85" ht="15" customHeight="1" s="57">
      <c r="A85" s="81" t="n">
        <v>84</v>
      </c>
      <c r="B85" s="82" t="inlineStr">
        <is>
          <t>3</t>
        </is>
      </c>
      <c r="C85" s="81" t="inlineStr">
        <is>
          <t>R&amp;S Group</t>
        </is>
      </c>
      <c r="D85" s="81" t="inlineStr">
        <is>
          <t>Sissach</t>
        </is>
      </c>
      <c r="E85" s="81" t="inlineStr">
        <is>
          <t>BL</t>
        </is>
      </c>
      <c r="F85" s="83" t="inlineStr">
        <is>
          <t>Energieinfrastruktur</t>
        </is>
      </c>
      <c r="G85" s="83" t="inlineStr">
        <is>
          <t>Transformatoren, Schaltanlagen, Bahnelektrifizierung</t>
        </is>
      </c>
      <c r="H85" s="84" t="n">
        <v>414.8</v>
      </c>
      <c r="I85" s="81" t="inlineStr">
        <is>
          <t>CHF</t>
        </is>
      </c>
      <c r="J85" s="84">
        <f>IF(H85="","",H85*IF(I85="CHF",1,IF(I85="EUR",'Legende &amp; Kriterien'!$C$13,'Legende &amp; Kriterien'!$C$14)))</f>
        <v/>
      </c>
      <c r="K85" s="81">
        <f>IF(P85="Rohstoffhandel","— Handel —",IF(J85="","k.A.",IF(J85&gt;=5000,"A: &gt;5 Mrd.",IF(J85&gt;=3000,"B: 3-5 Mrd.",IF(J85&gt;=1000,"C: 1-3 Mrd.","D: 0.1-1 Mrd.")))))</f>
        <v/>
      </c>
      <c r="L85" s="81" t="inlineStr">
        <is>
          <t>2025</t>
        </is>
      </c>
      <c r="M85" s="84" t="n">
        <v>1330</v>
      </c>
      <c r="N85" s="83" t="inlineStr">
        <is>
          <t>SIX: RSGN</t>
        </is>
      </c>
      <c r="O85" s="81" t="inlineStr">
        <is>
          <t>publiziert</t>
        </is>
      </c>
      <c r="P85" s="81" t="inlineStr">
        <is>
          <t>im Band</t>
        </is>
      </c>
      <c r="Q85" s="83" t="n"/>
      <c r="R85" s="63" t="n"/>
      <c r="S85" s="63" t="n"/>
      <c r="T85" s="63" t="n"/>
      <c r="U85" s="64" t="n"/>
      <c r="V85" s="85" t="inlineStr">
        <is>
          <t>https://stockanalysis.com/quote/swx/RSGN/financials/</t>
        </is>
      </c>
      <c r="W85" s="81" t="inlineStr">
        <is>
          <t>R&amp;S Group</t>
        </is>
      </c>
      <c r="X85" s="86" t="inlineStr">
        <is>
          <t>Stellen suchen</t>
        </is>
      </c>
    </row>
    <row r="86" ht="15" customHeight="1" s="57">
      <c r="A86" s="81" t="n">
        <v>85</v>
      </c>
      <c r="B86" s="82" t="inlineStr">
        <is>
          <t>2</t>
        </is>
      </c>
      <c r="C86" s="81" t="inlineStr">
        <is>
          <t>Beyond Gravity</t>
        </is>
      </c>
      <c r="D86" s="81" t="inlineStr">
        <is>
          <t>Zürich</t>
        </is>
      </c>
      <c r="E86" s="81" t="inlineStr">
        <is>
          <t>ZH</t>
        </is>
      </c>
      <c r="F86" s="83" t="inlineStr">
        <is>
          <t>Raumfahrt</t>
        </is>
      </c>
      <c r="G86" s="83" t="inlineStr">
        <is>
          <t>Strukturen, Nutzlastverkleidungen, Elektronik für Raumfahrt</t>
        </is>
      </c>
      <c r="H86" s="84" t="n">
        <v>412</v>
      </c>
      <c r="I86" s="81" t="inlineStr">
        <is>
          <t>CHF</t>
        </is>
      </c>
      <c r="J86" s="84">
        <f>IF(H86="","",H86*IF(I86="CHF",1,IF(I86="EUR",'Legende &amp; Kriterien'!$C$13,'Legende &amp; Kriterien'!$C$14)))</f>
        <v/>
      </c>
      <c r="K86" s="81">
        <f>IF(P86="Rohstoffhandel","— Handel —",IF(J86="","k.A.",IF(J86&gt;=5000,"A: &gt;5 Mrd.",IF(J86&gt;=3000,"B: 3-5 Mrd.",IF(J86&gt;=1000,"C: 1-3 Mrd.","D: 0.1-1 Mrd.")))))</f>
        <v/>
      </c>
      <c r="L86" s="81" t="inlineStr">
        <is>
          <t>2025</t>
        </is>
      </c>
      <c r="M86" s="84" t="n">
        <v>1926</v>
      </c>
      <c r="N86" s="83" t="inlineStr">
        <is>
          <t>Eidgenossenschaft (100%)</t>
        </is>
      </c>
      <c r="O86" s="81" t="inlineStr">
        <is>
          <t>publiziert</t>
        </is>
      </c>
      <c r="P86" s="81" t="inlineStr">
        <is>
          <t>im Band</t>
        </is>
      </c>
      <c r="Q86" s="83" t="n"/>
      <c r="R86" s="63" t="n"/>
      <c r="S86" s="63" t="n"/>
      <c r="T86" s="63" t="n"/>
      <c r="U86" s="64" t="n"/>
      <c r="V86" s="85" t="inlineStr">
        <is>
          <t>https://www.beyondgravity.com/en/annual-report-2025</t>
        </is>
      </c>
      <c r="W86" s="81" t="inlineStr">
        <is>
          <t>Beyond Gravity</t>
        </is>
      </c>
      <c r="X86" s="86" t="inlineStr">
        <is>
          <t>Stellen suchen</t>
        </is>
      </c>
    </row>
    <row r="87" ht="15" customHeight="1" s="57">
      <c r="A87" s="81" t="n">
        <v>86</v>
      </c>
      <c r="B87" s="82" t="inlineStr">
        <is>
          <t>3</t>
        </is>
      </c>
      <c r="C87" s="81" t="inlineStr">
        <is>
          <t>Victorinox</t>
        </is>
      </c>
      <c r="D87" s="81" t="inlineStr">
        <is>
          <t>Ibach-Schwyz</t>
        </is>
      </c>
      <c r="E87" s="81" t="inlineStr">
        <is>
          <t>SZ</t>
        </is>
      </c>
      <c r="F87" s="83" t="inlineStr">
        <is>
          <t>Konsum-/Präzisionsgüter</t>
        </is>
      </c>
      <c r="G87" s="83" t="inlineStr">
        <is>
          <t>Taschenmesser, Küchenmesser, Uhren, Reisegepäck</t>
        </is>
      </c>
      <c r="H87" s="84" t="n">
        <v>404</v>
      </c>
      <c r="I87" s="81" t="inlineStr">
        <is>
          <t>CHF</t>
        </is>
      </c>
      <c r="J87" s="84">
        <f>IF(H87="","",H87*IF(I87="CHF",1,IF(I87="EUR",'Legende &amp; Kriterien'!$C$13,'Legende &amp; Kriterien'!$C$14)))</f>
        <v/>
      </c>
      <c r="K87" s="81">
        <f>IF(P87="Rohstoffhandel","— Handel —",IF(J87="","k.A.",IF(J87&gt;=5000,"A: &gt;5 Mrd.",IF(J87&gt;=3000,"B: 3-5 Mrd.",IF(J87&gt;=1000,"C: 1-3 Mrd.","D: 0.1-1 Mrd.")))))</f>
        <v/>
      </c>
      <c r="L87" s="81" t="inlineStr">
        <is>
          <t>2025</t>
        </is>
      </c>
      <c r="M87" s="84" t="n">
        <v>2000</v>
      </c>
      <c r="N87" s="83" t="inlineStr">
        <is>
          <t>Stiftung + Familie Elsener</t>
        </is>
      </c>
      <c r="O87" s="81" t="inlineStr">
        <is>
          <t>publiziert</t>
        </is>
      </c>
      <c r="P87" s="81" t="inlineStr">
        <is>
          <t>im Band</t>
        </is>
      </c>
      <c r="Q87" s="83" t="n"/>
      <c r="R87" s="63" t="n"/>
      <c r="S87" s="63" t="n"/>
      <c r="T87" s="63" t="n"/>
      <c r="U87" s="64" t="n"/>
      <c r="V87" s="85" t="inlineStr">
        <is>
          <t>https://www.bote.ch/nachrichten/schwyz/victorinox-leidet-unter-zoellen-und-starkem-franken-art-1686763</t>
        </is>
      </c>
      <c r="W87" s="81" t="inlineStr">
        <is>
          <t>Victorinox</t>
        </is>
      </c>
      <c r="X87" s="86" t="inlineStr">
        <is>
          <t>Stellen suchen</t>
        </is>
      </c>
    </row>
    <row r="88" ht="15" customHeight="1" s="57">
      <c r="A88" s="81" t="n">
        <v>87</v>
      </c>
      <c r="B88" s="82" t="inlineStr">
        <is>
          <t>3</t>
        </is>
      </c>
      <c r="C88" s="81" t="inlineStr">
        <is>
          <t>Rheinmetall Air Defence</t>
        </is>
      </c>
      <c r="D88" s="81" t="inlineStr">
        <is>
          <t>Zürich-Oerlikon</t>
        </is>
      </c>
      <c r="E88" s="81" t="inlineStr">
        <is>
          <t>ZH</t>
        </is>
      </c>
      <c r="F88" s="83" t="inlineStr">
        <is>
          <t>Verteidigungstechnik</t>
        </is>
      </c>
      <c r="G88" s="83" t="inlineStr">
        <is>
          <t>Flugabwehrsysteme, Feuerleitsysteme, AHEAD-Munition</t>
        </is>
      </c>
      <c r="H88" s="84" t="n">
        <v>400</v>
      </c>
      <c r="I88" s="81" t="inlineStr">
        <is>
          <t>CHF</t>
        </is>
      </c>
      <c r="J88" s="84">
        <f>IF(H88="","",H88*IF(I88="CHF",1,IF(I88="EUR",'Legende &amp; Kriterien'!$C$13,'Legende &amp; Kriterien'!$C$14)))</f>
        <v/>
      </c>
      <c r="K88" s="81">
        <f>IF(P88="Rohstoffhandel","— Handel —",IF(J88="","k.A.",IF(J88&gt;=5000,"A: &gt;5 Mrd.",IF(J88&gt;=3000,"B: 3-5 Mrd.",IF(J88&gt;=1000,"C: 1-3 Mrd.","D: 0.1-1 Mrd.")))))</f>
        <v/>
      </c>
      <c r="L88" s="81" t="inlineStr">
        <is>
          <t>k.A.</t>
        </is>
      </c>
      <c r="M88" s="84" t="n">
        <v>900</v>
      </c>
      <c r="N88" s="83" t="inlineStr">
        <is>
          <t>Rheinmetall AG (DE)</t>
        </is>
      </c>
      <c r="O88" s="81" t="inlineStr">
        <is>
          <t>geschätzt</t>
        </is>
      </c>
      <c r="P88" s="81" t="inlineStr">
        <is>
          <t>im Band</t>
        </is>
      </c>
      <c r="Q88" s="83" t="inlineStr">
        <is>
          <t>CH-Standort eines DE-Konzerns</t>
        </is>
      </c>
      <c r="R88" s="63" t="n"/>
      <c r="S88" s="63" t="n"/>
      <c r="T88" s="63" t="n"/>
      <c r="U88" s="64" t="n"/>
      <c r="V88" s="85" t="inlineStr">
        <is>
          <t>https://www.find-your-future.ch/de/arbeiten-mem-branche/branche-unternehmen/firmenportraits/rheinmetall-air-defence/</t>
        </is>
      </c>
      <c r="W88" s="81" t="inlineStr">
        <is>
          <t>Rheinmetall</t>
        </is>
      </c>
      <c r="X88" s="86" t="inlineStr">
        <is>
          <t>Stellen suchen</t>
        </is>
      </c>
    </row>
    <row r="89" ht="15" customHeight="1" s="57">
      <c r="A89" s="81" t="n">
        <v>88</v>
      </c>
      <c r="B89" s="82" t="inlineStr">
        <is>
          <t>3</t>
        </is>
      </c>
      <c r="C89" s="81" t="inlineStr">
        <is>
          <t>GDELS-Mowag</t>
        </is>
      </c>
      <c r="D89" s="81" t="inlineStr">
        <is>
          <t>Kreuzlingen</t>
        </is>
      </c>
      <c r="E89" s="81" t="inlineStr">
        <is>
          <t>TG</t>
        </is>
      </c>
      <c r="F89" s="83" t="inlineStr">
        <is>
          <t>Verteidigungstechnik</t>
        </is>
      </c>
      <c r="G89" s="83" t="inlineStr">
        <is>
          <t>Geschützte Radfahrzeuge PIRANHA, EAGLE, DURO</t>
        </is>
      </c>
      <c r="H89" s="84" t="n">
        <v>400</v>
      </c>
      <c r="I89" s="81" t="inlineStr">
        <is>
          <t>CHF</t>
        </is>
      </c>
      <c r="J89" s="84">
        <f>IF(H89="","",H89*IF(I89="CHF",1,IF(I89="EUR",'Legende &amp; Kriterien'!$C$13,'Legende &amp; Kriterien'!$C$14)))</f>
        <v/>
      </c>
      <c r="K89" s="81">
        <f>IF(P89="Rohstoffhandel","— Handel —",IF(J89="","k.A.",IF(J89&gt;=5000,"A: &gt;5 Mrd.",IF(J89&gt;=3000,"B: 3-5 Mrd.",IF(J89&gt;=1000,"C: 1-3 Mrd.","D: 0.1-1 Mrd.")))))</f>
        <v/>
      </c>
      <c r="L89" s="81" t="inlineStr">
        <is>
          <t>k.A.</t>
        </is>
      </c>
      <c r="M89" s="84" t="n">
        <v>800</v>
      </c>
      <c r="N89" s="83" t="inlineStr">
        <is>
          <t>General Dynamics (US)</t>
        </is>
      </c>
      <c r="O89" s="81" t="inlineStr">
        <is>
          <t>geschätzt</t>
        </is>
      </c>
      <c r="P89" s="81" t="inlineStr">
        <is>
          <t>im Band</t>
        </is>
      </c>
      <c r="Q89" s="83" t="inlineStr">
        <is>
          <t>CH-Standort eines US-Konzerns</t>
        </is>
      </c>
      <c r="R89" s="63" t="n"/>
      <c r="S89" s="63" t="n"/>
      <c r="T89" s="63" t="n"/>
      <c r="U89" s="64" t="n"/>
      <c r="V89" s="85" t="inlineStr">
        <is>
          <t>https://www.find-your-future.ch/de/arbeiten-mem-branche/branche-unternehmen/firmenportraits/gdels-mowag-gmbh/</t>
        </is>
      </c>
      <c r="W89" s="81" t="inlineStr">
        <is>
          <t>Mowag</t>
        </is>
      </c>
      <c r="X89" s="86" t="inlineStr">
        <is>
          <t>Stellen suchen</t>
        </is>
      </c>
    </row>
    <row r="90" ht="15" customHeight="1" s="57">
      <c r="A90" s="81" t="n">
        <v>89</v>
      </c>
      <c r="B90" s="82" t="inlineStr">
        <is>
          <t>3</t>
        </is>
      </c>
      <c r="C90" s="81" t="inlineStr">
        <is>
          <t>Mikron</t>
        </is>
      </c>
      <c r="D90" s="81" t="inlineStr">
        <is>
          <t>Agno</t>
        </is>
      </c>
      <c r="E90" s="81" t="inlineStr">
        <is>
          <t>TI</t>
        </is>
      </c>
      <c r="F90" s="83" t="inlineStr">
        <is>
          <t>Automation/Maschinenbau</t>
        </is>
      </c>
      <c r="G90" s="83" t="inlineStr">
        <is>
          <t>Montage- und Prüfautomation, Präzisionsdrehteile</t>
        </is>
      </c>
      <c r="H90" s="84" t="n">
        <v>381.9</v>
      </c>
      <c r="I90" s="81" t="inlineStr">
        <is>
          <t>CHF</t>
        </is>
      </c>
      <c r="J90" s="84">
        <f>IF(H90="","",H90*IF(I90="CHF",1,IF(I90="EUR",'Legende &amp; Kriterien'!$C$13,'Legende &amp; Kriterien'!$C$14)))</f>
        <v/>
      </c>
      <c r="K90" s="81">
        <f>IF(P90="Rohstoffhandel","— Handel —",IF(J90="","k.A.",IF(J90&gt;=5000,"A: &gt;5 Mrd.",IF(J90&gt;=3000,"B: 3-5 Mrd.",IF(J90&gt;=1000,"C: 1-3 Mrd.","D: 0.1-1 Mrd.")))))</f>
        <v/>
      </c>
      <c r="L90" s="81" t="inlineStr">
        <is>
          <t>2025</t>
        </is>
      </c>
      <c r="M90" s="84" t="n">
        <v>1530</v>
      </c>
      <c r="N90" s="83" t="inlineStr">
        <is>
          <t>SIX: MIKN</t>
        </is>
      </c>
      <c r="O90" s="81" t="inlineStr">
        <is>
          <t>publiziert</t>
        </is>
      </c>
      <c r="P90" s="81" t="inlineStr">
        <is>
          <t>im Band</t>
        </is>
      </c>
      <c r="Q90" s="83" t="n"/>
      <c r="R90" s="63" t="n"/>
      <c r="S90" s="63" t="n"/>
      <c r="T90" s="63" t="n"/>
      <c r="U90" s="64" t="n"/>
      <c r="V90" s="85" t="inlineStr">
        <is>
          <t>https://stockanalysis.com/quote/swx/MIKN/financials/</t>
        </is>
      </c>
      <c r="W90" s="81" t="inlineStr">
        <is>
          <t>Mikron</t>
        </is>
      </c>
      <c r="X90" s="86" t="inlineStr">
        <is>
          <t>Stellen suchen</t>
        </is>
      </c>
    </row>
    <row r="91" ht="15" customHeight="1" s="57">
      <c r="A91" s="81" t="n">
        <v>90</v>
      </c>
      <c r="B91" s="82" t="inlineStr">
        <is>
          <t>3</t>
        </is>
      </c>
      <c r="C91" s="81" t="inlineStr">
        <is>
          <t>Griesser</t>
        </is>
      </c>
      <c r="D91" s="81" t="inlineStr">
        <is>
          <t>Aadorf</t>
        </is>
      </c>
      <c r="E91" s="81" t="inlineStr">
        <is>
          <t>TG</t>
        </is>
      </c>
      <c r="F91" s="83" t="inlineStr">
        <is>
          <t>Gebäudetechnik/Sonnenschutz</t>
        </is>
      </c>
      <c r="G91" s="83" t="inlineStr">
        <is>
          <t>Sonnenstoren, Raffstoren, Rollläden, Terrassendächer</t>
        </is>
      </c>
      <c r="H91" s="84" t="n">
        <v>370</v>
      </c>
      <c r="I91" s="81" t="inlineStr">
        <is>
          <t>CHF</t>
        </is>
      </c>
      <c r="J91" s="84">
        <f>IF(H91="","",H91*IF(I91="CHF",1,IF(I91="EUR",'Legende &amp; Kriterien'!$C$13,'Legende &amp; Kriterien'!$C$14)))</f>
        <v/>
      </c>
      <c r="K91" s="81">
        <f>IF(P91="Rohstoffhandel","— Handel —",IF(J91="","k.A.",IF(J91&gt;=5000,"A: &gt;5 Mrd.",IF(J91&gt;=3000,"B: 3-5 Mrd.",IF(J91&gt;=1000,"C: 1-3 Mrd.","D: 0.1-1 Mrd.")))))</f>
        <v/>
      </c>
      <c r="L91" s="81" t="inlineStr">
        <is>
          <t>2021</t>
        </is>
      </c>
      <c r="M91" s="84" t="n">
        <v>1500</v>
      </c>
      <c r="N91" s="83" t="inlineStr">
        <is>
          <t>Familienbesitz / OTC-X</t>
        </is>
      </c>
      <c r="O91" s="81" t="inlineStr">
        <is>
          <t>veraltet</t>
        </is>
      </c>
      <c r="P91" s="81" t="inlineStr">
        <is>
          <t>im Band</t>
        </is>
      </c>
      <c r="Q91" s="83" t="n"/>
      <c r="R91" s="63" t="n"/>
      <c r="S91" s="63" t="n"/>
      <c r="T91" s="63" t="n"/>
      <c r="U91" s="64" t="n"/>
      <c r="V91" s="85" t="inlineStr">
        <is>
          <t>https://de.wikipedia.org/wiki/Griesser_Holding</t>
        </is>
      </c>
      <c r="W91" s="81" t="inlineStr">
        <is>
          <t>Griesser</t>
        </is>
      </c>
      <c r="X91" s="86" t="inlineStr">
        <is>
          <t>Stellen suchen</t>
        </is>
      </c>
    </row>
    <row r="92" ht="23.25" customHeight="1" s="57">
      <c r="A92" s="81" t="n">
        <v>91</v>
      </c>
      <c r="B92" s="82" t="inlineStr">
        <is>
          <t>3</t>
        </is>
      </c>
      <c r="C92" s="81" t="inlineStr">
        <is>
          <t>Aluflexpack</t>
        </is>
      </c>
      <c r="D92" s="81" t="inlineStr">
        <is>
          <t>Reinach</t>
        </is>
      </c>
      <c r="E92" s="81" t="inlineStr">
        <is>
          <t>AG</t>
        </is>
      </c>
      <c r="F92" s="83" t="inlineStr">
        <is>
          <t>Verpackung</t>
        </is>
      </c>
      <c r="G92" s="83" t="inlineStr">
        <is>
          <t>Flexible Verpackungen aus Aluminium und Folien für Food und Pharma</t>
        </is>
      </c>
      <c r="H92" s="84" t="n">
        <v>374.9</v>
      </c>
      <c r="I92" s="81" t="inlineStr">
        <is>
          <t>EUR</t>
        </is>
      </c>
      <c r="J92" s="84">
        <f>IF(H92="","",H92*IF(I92="CHF",1,IF(I92="EUR",'Legende &amp; Kriterien'!$C$13,'Legende &amp; Kriterien'!$C$14)))</f>
        <v/>
      </c>
      <c r="K92" s="81">
        <f>IF(P92="Rohstoffhandel","— Handel —",IF(J92="","k.A.",IF(J92&gt;=5000,"A: &gt;5 Mrd.",IF(J92&gt;=3000,"B: 3-5 Mrd.",IF(J92&gt;=1000,"C: 1-3 Mrd.","D: 0.1-1 Mrd.")))))</f>
        <v/>
      </c>
      <c r="L92" s="81" t="inlineStr">
        <is>
          <t>2024</t>
        </is>
      </c>
      <c r="M92" s="84" t="n">
        <v>1674</v>
      </c>
      <c r="N92" s="83" t="inlineStr">
        <is>
          <t>Constantia Flexibles / One Rock</t>
        </is>
      </c>
      <c r="O92" s="81" t="inlineStr">
        <is>
          <t>veraltet</t>
        </is>
      </c>
      <c r="P92" s="81" t="inlineStr">
        <is>
          <t>im Band</t>
        </is>
      </c>
      <c r="Q92" s="83" t="inlineStr">
        <is>
          <t>Delisting SIX 11.07.2025; keine Publikation mehr</t>
        </is>
      </c>
      <c r="R92" s="63" t="n"/>
      <c r="S92" s="63" t="n"/>
      <c r="T92" s="63" t="n"/>
      <c r="U92" s="64" t="n"/>
      <c r="V92" s="85" t="inlineStr">
        <is>
          <t>https://www.cflex.com/</t>
        </is>
      </c>
      <c r="W92" s="81" t="inlineStr">
        <is>
          <t>Aluflexpack</t>
        </is>
      </c>
      <c r="X92" s="86" t="inlineStr">
        <is>
          <t>Stellen suchen</t>
        </is>
      </c>
    </row>
    <row r="93" ht="15" customHeight="1" s="57">
      <c r="A93" s="81" t="n">
        <v>92</v>
      </c>
      <c r="B93" s="82" t="inlineStr">
        <is>
          <t>3</t>
        </is>
      </c>
      <c r="C93" s="81" t="inlineStr">
        <is>
          <t>Sonceboz</t>
        </is>
      </c>
      <c r="D93" s="81" t="inlineStr">
        <is>
          <t>Sonceboz-Sombeval</t>
        </is>
      </c>
      <c r="E93" s="81" t="inlineStr">
        <is>
          <t>BE</t>
        </is>
      </c>
      <c r="F93" s="83" t="inlineStr">
        <is>
          <t>Mechatronik</t>
        </is>
      </c>
      <c r="G93" s="83" t="inlineStr">
        <is>
          <t>Mechatronische Aktuatoren und Motoren für Auto, Industrie, Medtech</t>
        </is>
      </c>
      <c r="H93" s="84" t="n">
        <v>350</v>
      </c>
      <c r="I93" s="81" t="inlineStr">
        <is>
          <t>CHF</t>
        </is>
      </c>
      <c r="J93" s="84">
        <f>IF(H93="","",H93*IF(I93="CHF",1,IF(I93="EUR",'Legende &amp; Kriterien'!$C$13,'Legende &amp; Kriterien'!$C$14)))</f>
        <v/>
      </c>
      <c r="K93" s="81">
        <f>IF(P93="Rohstoffhandel","— Handel —",IF(J93="","k.A.",IF(J93&gt;=5000,"A: &gt;5 Mrd.",IF(J93&gt;=3000,"B: 3-5 Mrd.",IF(J93&gt;=1000,"C: 1-3 Mrd.","D: 0.1-1 Mrd.")))))</f>
        <v/>
      </c>
      <c r="L93" s="81" t="inlineStr">
        <is>
          <t>k.A.</t>
        </is>
      </c>
      <c r="M93" s="84" t="n">
        <v>1500</v>
      </c>
      <c r="N93" s="83" t="inlineStr">
        <is>
          <t>Familienunternehmen</t>
        </is>
      </c>
      <c r="O93" s="81" t="inlineStr">
        <is>
          <t>geschätzt</t>
        </is>
      </c>
      <c r="P93" s="81" t="inlineStr">
        <is>
          <t>im Band</t>
        </is>
      </c>
      <c r="Q93" s="83" t="n"/>
      <c r="R93" s="63" t="n"/>
      <c r="S93" s="63" t="n"/>
      <c r="T93" s="63" t="n"/>
      <c r="U93" s="64" t="n"/>
      <c r="V93" s="85" t="inlineStr">
        <is>
          <t>https://sonceboz.com/about-us/</t>
        </is>
      </c>
      <c r="W93" s="81" t="inlineStr">
        <is>
          <t>Sonceboz</t>
        </is>
      </c>
      <c r="X93" s="86" t="inlineStr">
        <is>
          <t>Stellen suchen</t>
        </is>
      </c>
    </row>
    <row r="94" ht="15" customHeight="1" s="57">
      <c r="A94" s="59" t="n">
        <v>93</v>
      </c>
      <c r="B94" s="60" t="inlineStr">
        <is>
          <t>1</t>
        </is>
      </c>
      <c r="C94" s="59" t="inlineStr">
        <is>
          <t>Sensirion</t>
        </is>
      </c>
      <c r="D94" s="59" t="inlineStr">
        <is>
          <t>Stäfa</t>
        </is>
      </c>
      <c r="E94" s="59" t="inlineStr">
        <is>
          <t>ZH</t>
        </is>
      </c>
      <c r="F94" s="61" t="inlineStr">
        <is>
          <t>Sensorik</t>
        </is>
      </c>
      <c r="G94" s="61" t="inlineStr">
        <is>
          <t>Umwelt- und Flusssensoren, CMOS-Sensormodule</t>
        </is>
      </c>
      <c r="H94" s="62" t="n">
        <v>342.4</v>
      </c>
      <c r="I94" s="59" t="inlineStr">
        <is>
          <t>CHF</t>
        </is>
      </c>
      <c r="J94" s="62">
        <f>IF(H94="","",H94*IF(I94="CHF",1,IF(I94="EUR",'Legende &amp; Kriterien'!$C$13,'Legende &amp; Kriterien'!$C$14)))</f>
        <v/>
      </c>
      <c r="K94" s="59">
        <f>IF(P94="Rohstoffhandel","— Handel —",IF(J94="","k.A.",IF(J94&gt;=5000,"A: &gt;5 Mrd.",IF(J94&gt;=3000,"B: 3-5 Mrd.",IF(J94&gt;=1000,"C: 1-3 Mrd.","D: 0.1-1 Mrd.")))))</f>
        <v/>
      </c>
      <c r="L94" s="59" t="inlineStr">
        <is>
          <t>2025</t>
        </is>
      </c>
      <c r="M94" s="62" t="n">
        <v>1310</v>
      </c>
      <c r="N94" s="61" t="inlineStr">
        <is>
          <t>SIX: SENS</t>
        </is>
      </c>
      <c r="O94" s="59" t="inlineStr">
        <is>
          <t>publiziert</t>
        </is>
      </c>
      <c r="P94" s="59" t="inlineStr">
        <is>
          <t>im Band</t>
        </is>
      </c>
      <c r="Q94" s="61" t="inlineStr">
        <is>
          <t>Dein früherer Arbeitgeber</t>
        </is>
      </c>
      <c r="R94" s="63" t="n"/>
      <c r="S94" s="63" t="n"/>
      <c r="T94" s="63" t="n"/>
      <c r="U94" s="64" t="n"/>
      <c r="V94" s="65" t="inlineStr">
        <is>
          <t>https://stockanalysis.com/quote/swx/SENS/financials/</t>
        </is>
      </c>
      <c r="W94" s="59" t="inlineStr">
        <is>
          <t>Sensirion</t>
        </is>
      </c>
      <c r="X94" s="66" t="inlineStr">
        <is>
          <t>Stellen suchen</t>
        </is>
      </c>
      <c r="Y94" s="67" t="inlineStr">
        <is>
          <t>https://sensirion.com/career</t>
        </is>
      </c>
    </row>
    <row r="95" ht="15" customHeight="1" s="57">
      <c r="A95" s="81" t="n">
        <v>94</v>
      </c>
      <c r="B95" s="82" t="inlineStr">
        <is>
          <t>2</t>
        </is>
      </c>
      <c r="C95" s="81" t="inlineStr">
        <is>
          <t>Weidmann Holding (WICOR)</t>
        </is>
      </c>
      <c r="D95" s="81" t="inlineStr">
        <is>
          <t>Rapperswil-Jona</t>
        </is>
      </c>
      <c r="E95" s="81" t="inlineStr">
        <is>
          <t>SG</t>
        </is>
      </c>
      <c r="F95" s="83" t="inlineStr">
        <is>
          <t>Elektrotechnik/Medtech</t>
        </is>
      </c>
      <c r="G95" s="83" t="inlineStr">
        <is>
          <t>Transformator-Isolationen, Medtech-Spritzguss, MFC</t>
        </is>
      </c>
      <c r="H95" s="84" t="n">
        <v>341</v>
      </c>
      <c r="I95" s="81" t="inlineStr">
        <is>
          <t>CHF</t>
        </is>
      </c>
      <c r="J95" s="84">
        <f>IF(H95="","",H95*IF(I95="CHF",1,IF(I95="EUR",'Legende &amp; Kriterien'!$C$13,'Legende &amp; Kriterien'!$C$14)))</f>
        <v/>
      </c>
      <c r="K95" s="81">
        <f>IF(P95="Rohstoffhandel","— Handel —",IF(J95="","k.A.",IF(J95&gt;=5000,"A: &gt;5 Mrd.",IF(J95&gt;=3000,"B: 3-5 Mrd.",IF(J95&gt;=1000,"C: 1-3 Mrd.","D: 0.1-1 Mrd.")))))</f>
        <v/>
      </c>
      <c r="L95" s="81" t="inlineStr">
        <is>
          <t>2020</t>
        </is>
      </c>
      <c r="M95" s="84" t="n">
        <v>2700</v>
      </c>
      <c r="N95" s="83" t="inlineStr">
        <is>
          <t>Familie Weidmann/Tschudi</t>
        </is>
      </c>
      <c r="O95" s="81" t="inlineStr">
        <is>
          <t>veraltet</t>
        </is>
      </c>
      <c r="P95" s="81" t="inlineStr">
        <is>
          <t>im Band</t>
        </is>
      </c>
      <c r="Q95" s="83" t="inlineStr">
        <is>
          <t>Dürfte durch den Transformatoren-Boom deutlich höher liegen</t>
        </is>
      </c>
      <c r="R95" s="63" t="n"/>
      <c r="S95" s="63" t="n"/>
      <c r="T95" s="63" t="n"/>
      <c r="U95" s="64" t="n"/>
      <c r="V95" s="85" t="inlineStr">
        <is>
          <t>https://linth24.ch/articles/64161-weidmann-mit-umsatzrueckgang-und-expansionsplan</t>
        </is>
      </c>
      <c r="W95" s="81" t="inlineStr">
        <is>
          <t>Weidmann</t>
        </is>
      </c>
      <c r="X95" s="86" t="inlineStr">
        <is>
          <t>Stellen suchen</t>
        </is>
      </c>
    </row>
    <row r="96" ht="15" customHeight="1" s="57">
      <c r="A96" s="81" t="n">
        <v>95</v>
      </c>
      <c r="B96" s="82" t="inlineStr">
        <is>
          <t>2</t>
        </is>
      </c>
      <c r="C96" s="81" t="inlineStr">
        <is>
          <t>SKAN Group</t>
        </is>
      </c>
      <c r="D96" s="81" t="inlineStr">
        <is>
          <t>Allschwil</t>
        </is>
      </c>
      <c r="E96" s="81" t="inlineStr">
        <is>
          <t>BL</t>
        </is>
      </c>
      <c r="F96" s="83" t="inlineStr">
        <is>
          <t>Reinraumtechnik</t>
        </is>
      </c>
      <c r="G96" s="83" t="inlineStr">
        <is>
          <t>Isolatoren und Reinraumtechnik für aseptische Pharmaproduktion</t>
        </is>
      </c>
      <c r="H96" s="84" t="n">
        <v>333.3</v>
      </c>
      <c r="I96" s="81" t="inlineStr">
        <is>
          <t>CHF</t>
        </is>
      </c>
      <c r="J96" s="84">
        <f>IF(H96="","",H96*IF(I96="CHF",1,IF(I96="EUR",'Legende &amp; Kriterien'!$C$13,'Legende &amp; Kriterien'!$C$14)))</f>
        <v/>
      </c>
      <c r="K96" s="81">
        <f>IF(P96="Rohstoffhandel","— Handel —",IF(J96="","k.A.",IF(J96&gt;=5000,"A: &gt;5 Mrd.",IF(J96&gt;=3000,"B: 3-5 Mrd.",IF(J96&gt;=1000,"C: 1-3 Mrd.","D: 0.1-1 Mrd.")))))</f>
        <v/>
      </c>
      <c r="L96" s="81" t="inlineStr">
        <is>
          <t>2025</t>
        </is>
      </c>
      <c r="M96" s="84" t="n">
        <v>1740</v>
      </c>
      <c r="N96" s="83" t="inlineStr">
        <is>
          <t>SIX: SKAN</t>
        </is>
      </c>
      <c r="O96" s="81" t="inlineStr">
        <is>
          <t>publiziert</t>
        </is>
      </c>
      <c r="P96" s="81" t="inlineStr">
        <is>
          <t>im Band</t>
        </is>
      </c>
      <c r="Q96" s="83" t="n"/>
      <c r="R96" s="63" t="n"/>
      <c r="S96" s="63" t="n"/>
      <c r="T96" s="63" t="n"/>
      <c r="U96" s="64" t="n"/>
      <c r="V96" s="85" t="inlineStr">
        <is>
          <t>https://stockanalysis.com/quote/swx/SKAN/financials/</t>
        </is>
      </c>
      <c r="W96" s="81" t="inlineStr">
        <is>
          <t>SKAN</t>
        </is>
      </c>
      <c r="X96" s="86" t="inlineStr">
        <is>
          <t>Stellen suchen</t>
        </is>
      </c>
    </row>
    <row r="97" ht="15" customHeight="1" s="57">
      <c r="A97" s="81" t="n">
        <v>96</v>
      </c>
      <c r="B97" s="82" t="inlineStr">
        <is>
          <t>2</t>
        </is>
      </c>
      <c r="C97" s="81" t="inlineStr">
        <is>
          <t>Sefar Group</t>
        </is>
      </c>
      <c r="D97" s="81" t="inlineStr">
        <is>
          <t>Thal</t>
        </is>
      </c>
      <c r="E97" s="81" t="inlineStr">
        <is>
          <t>SG</t>
        </is>
      </c>
      <c r="F97" s="83" t="inlineStr">
        <is>
          <t>Industrietextilien</t>
        </is>
      </c>
      <c r="G97" s="83" t="inlineStr">
        <is>
          <t>Präzisionsgewebe für Siebdruck, Filtration, Elektronik, Medtech</t>
        </is>
      </c>
      <c r="H97" s="84" t="n">
        <v>347</v>
      </c>
      <c r="I97" s="81" t="inlineStr">
        <is>
          <t>EUR</t>
        </is>
      </c>
      <c r="J97" s="84">
        <f>IF(H97="","",H97*IF(I97="CHF",1,IF(I97="EUR",'Legende &amp; Kriterien'!$C$13,'Legende &amp; Kriterien'!$C$14)))</f>
        <v/>
      </c>
      <c r="K97" s="81">
        <f>IF(P97="Rohstoffhandel","— Handel —",IF(J97="","k.A.",IF(J97&gt;=5000,"A: &gt;5 Mrd.",IF(J97&gt;=3000,"B: 3-5 Mrd.",IF(J97&gt;=1000,"C: 1-3 Mrd.","D: 0.1-1 Mrd.")))))</f>
        <v/>
      </c>
      <c r="L97" s="81" t="inlineStr">
        <is>
          <t>2024</t>
        </is>
      </c>
      <c r="M97" s="84" t="n">
        <v>2900</v>
      </c>
      <c r="N97" s="83" t="inlineStr">
        <is>
          <t>Gründerfamilie (100%)</t>
        </is>
      </c>
      <c r="O97" s="81" t="inlineStr">
        <is>
          <t>geschätzt</t>
        </is>
      </c>
      <c r="P97" s="81" t="inlineStr">
        <is>
          <t>im Band</t>
        </is>
      </c>
      <c r="Q97" s="83" t="n"/>
      <c r="R97" s="63" t="n"/>
      <c r="S97" s="63" t="n"/>
      <c r="T97" s="63" t="n"/>
      <c r="U97" s="64" t="n"/>
      <c r="V97" s="85" t="inlineStr">
        <is>
          <t>https://www.weltmarktfuehrerindex.de/profil/sefar</t>
        </is>
      </c>
      <c r="W97" s="81" t="inlineStr">
        <is>
          <t>Sefar</t>
        </is>
      </c>
      <c r="X97" s="86" t="inlineStr">
        <is>
          <t>Stellen suchen</t>
        </is>
      </c>
    </row>
    <row r="98" ht="15" customHeight="1" s="57">
      <c r="A98" s="81" t="n">
        <v>97</v>
      </c>
      <c r="B98" s="82" t="inlineStr">
        <is>
          <t>2</t>
        </is>
      </c>
      <c r="C98" s="81" t="inlineStr">
        <is>
          <t>Gurit</t>
        </is>
      </c>
      <c r="D98" s="81" t="inlineStr">
        <is>
          <t>Wattwil</t>
        </is>
      </c>
      <c r="E98" s="81" t="inlineStr">
        <is>
          <t>SG</t>
        </is>
      </c>
      <c r="F98" s="83" t="inlineStr">
        <is>
          <t>Composites</t>
        </is>
      </c>
      <c r="G98" s="83" t="inlineStr">
        <is>
          <t>Faserverbundwerkstoffe, Strukturschaumkerne, Klebstoffe</t>
        </is>
      </c>
      <c r="H98" s="84" t="n">
        <v>319.6</v>
      </c>
      <c r="I98" s="81" t="inlineStr">
        <is>
          <t>CHF</t>
        </is>
      </c>
      <c r="J98" s="84">
        <f>IF(H98="","",H98*IF(I98="CHF",1,IF(I98="EUR",'Legende &amp; Kriterien'!$C$13,'Legende &amp; Kriterien'!$C$14)))</f>
        <v/>
      </c>
      <c r="K98" s="81">
        <f>IF(P98="Rohstoffhandel","— Handel —",IF(J98="","k.A.",IF(J98&gt;=5000,"A: &gt;5 Mrd.",IF(J98&gt;=3000,"B: 3-5 Mrd.",IF(J98&gt;=1000,"C: 1-3 Mrd.","D: 0.1-1 Mrd.")))))</f>
        <v/>
      </c>
      <c r="L98" s="81" t="inlineStr">
        <is>
          <t>2025</t>
        </is>
      </c>
      <c r="M98" s="84" t="n">
        <v>1950</v>
      </c>
      <c r="N98" s="83" t="inlineStr">
        <is>
          <t>SIX: GURN</t>
        </is>
      </c>
      <c r="O98" s="81" t="inlineStr">
        <is>
          <t>publiziert</t>
        </is>
      </c>
      <c r="P98" s="81" t="inlineStr">
        <is>
          <t>im Band</t>
        </is>
      </c>
      <c r="Q98" s="83" t="n"/>
      <c r="R98" s="63" t="n"/>
      <c r="S98" s="63" t="n"/>
      <c r="T98" s="63" t="n"/>
      <c r="U98" s="64" t="n"/>
      <c r="V98" s="85" t="inlineStr">
        <is>
          <t>https://stockanalysis.com/quote/swx/GURN/financials/</t>
        </is>
      </c>
      <c r="W98" s="81" t="inlineStr">
        <is>
          <t>Gurit</t>
        </is>
      </c>
      <c r="X98" s="86" t="inlineStr">
        <is>
          <t>Stellen suchen</t>
        </is>
      </c>
    </row>
    <row r="99" ht="15" customHeight="1" s="57">
      <c r="A99" s="59" t="n">
        <v>98</v>
      </c>
      <c r="B99" s="60" t="inlineStr">
        <is>
          <t>1</t>
        </is>
      </c>
      <c r="C99" s="59" t="inlineStr">
        <is>
          <t>Ferag (WRH)</t>
        </is>
      </c>
      <c r="D99" s="59" t="inlineStr">
        <is>
          <t>Hinwil</t>
        </is>
      </c>
      <c r="E99" s="59" t="inlineStr">
        <is>
          <t>ZH</t>
        </is>
      </c>
      <c r="F99" s="61" t="inlineStr">
        <is>
          <t>Intralogistik</t>
        </is>
      </c>
      <c r="G99" s="61" t="inlineStr">
        <is>
          <t>Materialfluss- und Hängefördersysteme, Sortierlösungen</t>
        </is>
      </c>
      <c r="H99" s="62" t="n">
        <v>300</v>
      </c>
      <c r="I99" s="59" t="inlineStr">
        <is>
          <t>CHF</t>
        </is>
      </c>
      <c r="J99" s="62">
        <f>IF(H99="","",H99*IF(I99="CHF",1,IF(I99="EUR",'Legende &amp; Kriterien'!$C$13,'Legende &amp; Kriterien'!$C$14)))</f>
        <v/>
      </c>
      <c r="K99" s="59">
        <f>IF(P99="Rohstoffhandel","— Handel —",IF(J99="","k.A.",IF(J99&gt;=5000,"A: &gt;5 Mrd.",IF(J99&gt;=3000,"B: 3-5 Mrd.",IF(J99&gt;=1000,"C: 1-3 Mrd.","D: 0.1-1 Mrd.")))))</f>
        <v/>
      </c>
      <c r="L99" s="59" t="inlineStr">
        <is>
          <t>k.A.</t>
        </is>
      </c>
      <c r="M99" s="62" t="n">
        <v>600</v>
      </c>
      <c r="N99" s="61" t="inlineStr">
        <is>
          <t>Familie Reist/Rau</t>
        </is>
      </c>
      <c r="O99" s="59" t="inlineStr">
        <is>
          <t>geschätzt</t>
        </is>
      </c>
      <c r="P99" s="59" t="inlineStr">
        <is>
          <t>im Band</t>
        </is>
      </c>
      <c r="Q99" s="61" t="n"/>
      <c r="R99" s="63" t="n"/>
      <c r="S99" s="63" t="n"/>
      <c r="T99" s="63" t="n"/>
      <c r="U99" s="64" t="n"/>
      <c r="V99" s="65" t="inlineStr">
        <is>
          <t>https://de.wikipedia.org/wiki/Ferag</t>
        </is>
      </c>
      <c r="W99" s="59" t="inlineStr">
        <is>
          <t>Ferag</t>
        </is>
      </c>
      <c r="X99" s="66" t="inlineStr">
        <is>
          <t>Stellen suchen</t>
        </is>
      </c>
      <c r="Y99" s="67" t="inlineStr">
        <is>
          <t>https://recruitingapp-2970.umantis.com/Jobs/1?CompanyID=1</t>
        </is>
      </c>
    </row>
    <row r="100" ht="15" customHeight="1" s="57">
      <c r="A100" s="81" t="n">
        <v>99</v>
      </c>
      <c r="B100" s="82" t="inlineStr">
        <is>
          <t>2</t>
        </is>
      </c>
      <c r="C100" s="81" t="inlineStr">
        <is>
          <t>Ascom</t>
        </is>
      </c>
      <c r="D100" s="81" t="inlineStr">
        <is>
          <t>Baar</t>
        </is>
      </c>
      <c r="E100" s="81" t="inlineStr">
        <is>
          <t>ZG</t>
        </is>
      </c>
      <c r="F100" s="83" t="inlineStr">
        <is>
          <t>Kommunikationstechnik</t>
        </is>
      </c>
      <c r="G100" s="83" t="inlineStr">
        <is>
          <t>Mobile Kommunikations- und Alarmierungssysteme für Spitäler</t>
        </is>
      </c>
      <c r="H100" s="84" t="n">
        <v>292.1</v>
      </c>
      <c r="I100" s="81" t="inlineStr">
        <is>
          <t>CHF</t>
        </is>
      </c>
      <c r="J100" s="84">
        <f>IF(H100="","",H100*IF(I100="CHF",1,IF(I100="EUR",'Legende &amp; Kriterien'!$C$13,'Legende &amp; Kriterien'!$C$14)))</f>
        <v/>
      </c>
      <c r="K100" s="81">
        <f>IF(P100="Rohstoffhandel","— Handel —",IF(J100="","k.A.",IF(J100&gt;=5000,"A: &gt;5 Mrd.",IF(J100&gt;=3000,"B: 3-5 Mrd.",IF(J100&gt;=1000,"C: 1-3 Mrd.","D: 0.1-1 Mrd.")))))</f>
        <v/>
      </c>
      <c r="L100" s="81" t="inlineStr">
        <is>
          <t>2025</t>
        </is>
      </c>
      <c r="M100" s="84" t="n">
        <v>1380</v>
      </c>
      <c r="N100" s="83" t="inlineStr">
        <is>
          <t>SIX: ASCN</t>
        </is>
      </c>
      <c r="O100" s="81" t="inlineStr">
        <is>
          <t>publiziert</t>
        </is>
      </c>
      <c r="P100" s="81" t="inlineStr">
        <is>
          <t>im Band</t>
        </is>
      </c>
      <c r="Q100" s="83" t="n"/>
      <c r="R100" s="63" t="n"/>
      <c r="S100" s="63" t="n"/>
      <c r="T100" s="63" t="n"/>
      <c r="U100" s="64" t="n"/>
      <c r="V100" s="85" t="inlineStr">
        <is>
          <t>https://stockanalysis.com/quote/swx/ASCN/financials/</t>
        </is>
      </c>
      <c r="W100" s="81" t="inlineStr">
        <is>
          <t>Ascom</t>
        </is>
      </c>
      <c r="X100" s="86" t="inlineStr">
        <is>
          <t>Stellen suchen</t>
        </is>
      </c>
    </row>
    <row r="101" ht="15" customHeight="1" s="57">
      <c r="A101" s="81" t="n">
        <v>100</v>
      </c>
      <c r="B101" s="82" t="inlineStr">
        <is>
          <t>3</t>
        </is>
      </c>
      <c r="C101" s="81" t="inlineStr">
        <is>
          <t>Schurter Holding</t>
        </is>
      </c>
      <c r="D101" s="81" t="inlineStr">
        <is>
          <t>Luzern</t>
        </is>
      </c>
      <c r="E101" s="81" t="inlineStr">
        <is>
          <t>LU</t>
        </is>
      </c>
      <c r="F101" s="83" t="inlineStr">
        <is>
          <t>Elektronikkomponenten</t>
        </is>
      </c>
      <c r="G101" s="83" t="inlineStr">
        <is>
          <t>Sicherungen, Gerätestecker, Schalter, EMV-Filter, EMS</t>
        </is>
      </c>
      <c r="H101" s="84" t="n">
        <v>289</v>
      </c>
      <c r="I101" s="81" t="inlineStr">
        <is>
          <t>CHF</t>
        </is>
      </c>
      <c r="J101" s="84">
        <f>IF(H101="","",H101*IF(I101="CHF",1,IF(I101="EUR",'Legende &amp; Kriterien'!$C$13,'Legende &amp; Kriterien'!$C$14)))</f>
        <v/>
      </c>
      <c r="K101" s="81">
        <f>IF(P101="Rohstoffhandel","— Handel —",IF(J101="","k.A.",IF(J101&gt;=5000,"A: &gt;5 Mrd.",IF(J101&gt;=3000,"B: 3-5 Mrd.",IF(J101&gt;=1000,"C: 1-3 Mrd.","D: 0.1-1 Mrd.")))))</f>
        <v/>
      </c>
      <c r="L101" s="81" t="inlineStr">
        <is>
          <t>2018</t>
        </is>
      </c>
      <c r="M101" s="84" t="n">
        <v>2000</v>
      </c>
      <c r="N101" s="83" t="inlineStr">
        <is>
          <t>Private Equity: Capvis</t>
        </is>
      </c>
      <c r="O101" s="81" t="inlineStr">
        <is>
          <t>veraltet</t>
        </is>
      </c>
      <c r="P101" s="81" t="inlineStr">
        <is>
          <t>im Band</t>
        </is>
      </c>
      <c r="Q101" s="83" t="n"/>
      <c r="R101" s="63" t="n"/>
      <c r="S101" s="63" t="n"/>
      <c r="T101" s="63" t="n"/>
      <c r="U101" s="64" t="n"/>
      <c r="V101" s="85" t="inlineStr">
        <is>
          <t>https://de.wikipedia.org/wiki/Schurter_Holding</t>
        </is>
      </c>
      <c r="W101" s="81" t="inlineStr">
        <is>
          <t>Schurter</t>
        </is>
      </c>
      <c r="X101" s="86" t="inlineStr">
        <is>
          <t>Stellen suchen</t>
        </is>
      </c>
    </row>
    <row r="102" ht="15" customHeight="1" s="57">
      <c r="A102" s="81" t="n">
        <v>101</v>
      </c>
      <c r="B102" s="82" t="inlineStr">
        <is>
          <t>3</t>
        </is>
      </c>
      <c r="C102" s="81" t="inlineStr">
        <is>
          <t>LEM</t>
        </is>
      </c>
      <c r="D102" s="81" t="inlineStr">
        <is>
          <t>Meyrin</t>
        </is>
      </c>
      <c r="E102" s="81" t="inlineStr">
        <is>
          <t>GE</t>
        </is>
      </c>
      <c r="F102" s="83" t="inlineStr">
        <is>
          <t>Sensorik</t>
        </is>
      </c>
      <c r="G102" s="83" t="inlineStr">
        <is>
          <t>Strom- und Spannungswandler-Sensoren</t>
        </is>
      </c>
      <c r="H102" s="84" t="n">
        <v>287.7</v>
      </c>
      <c r="I102" s="81" t="inlineStr">
        <is>
          <t>CHF</t>
        </is>
      </c>
      <c r="J102" s="84">
        <f>IF(H102="","",H102*IF(I102="CHF",1,IF(I102="EUR",'Legende &amp; Kriterien'!$C$13,'Legende &amp; Kriterien'!$C$14)))</f>
        <v/>
      </c>
      <c r="K102" s="81">
        <f>IF(P102="Rohstoffhandel","— Handel —",IF(J102="","k.A.",IF(J102&gt;=5000,"A: &gt;5 Mrd.",IF(J102&gt;=3000,"B: 3-5 Mrd.",IF(J102&gt;=1000,"C: 1-3 Mrd.","D: 0.1-1 Mrd.")))))</f>
        <v/>
      </c>
      <c r="L102" s="81" t="inlineStr">
        <is>
          <t>2025/26</t>
        </is>
      </c>
      <c r="M102" s="84" t="n">
        <v>1730</v>
      </c>
      <c r="N102" s="83" t="inlineStr">
        <is>
          <t>SIX: LEHN</t>
        </is>
      </c>
      <c r="O102" s="81" t="inlineStr">
        <is>
          <t>publiziert</t>
        </is>
      </c>
      <c r="P102" s="81" t="inlineStr">
        <is>
          <t>im Band</t>
        </is>
      </c>
      <c r="Q102" s="83" t="n"/>
      <c r="R102" s="63" t="n"/>
      <c r="S102" s="63" t="n"/>
      <c r="T102" s="63" t="n"/>
      <c r="U102" s="64" t="n"/>
      <c r="V102" s="85" t="inlineStr">
        <is>
          <t>https://stockanalysis.com/quote/swx/LEHN/financials/</t>
        </is>
      </c>
      <c r="W102" s="81" t="inlineStr">
        <is>
          <t>LEM</t>
        </is>
      </c>
      <c r="X102" s="86" t="inlineStr">
        <is>
          <t>Stellen suchen</t>
        </is>
      </c>
    </row>
    <row r="103" ht="15" customHeight="1" s="57">
      <c r="A103" s="59" t="n">
        <v>102</v>
      </c>
      <c r="B103" s="60" t="inlineStr">
        <is>
          <t>1</t>
        </is>
      </c>
      <c r="C103" s="59" t="inlineStr">
        <is>
          <t>Angst+Pfister</t>
        </is>
      </c>
      <c r="D103" s="59" t="inlineStr">
        <is>
          <t>Zürich/Glattbrugg</t>
        </is>
      </c>
      <c r="E103" s="59" t="inlineStr">
        <is>
          <t>ZH</t>
        </is>
      </c>
      <c r="F103" s="61" t="inlineStr">
        <is>
          <t>Industriekomponenten</t>
        </is>
      </c>
      <c r="G103" s="61" t="inlineStr">
        <is>
          <t>Dichtungen, Elastomer-, Kunststoff- und Antriebskomponenten</t>
        </is>
      </c>
      <c r="H103" s="62" t="n">
        <v>275</v>
      </c>
      <c r="I103" s="59" t="inlineStr">
        <is>
          <t>CHF</t>
        </is>
      </c>
      <c r="J103" s="62">
        <f>IF(H103="","",H103*IF(I103="CHF",1,IF(I103="EUR",'Legende &amp; Kriterien'!$C$13,'Legende &amp; Kriterien'!$C$14)))</f>
        <v/>
      </c>
      <c r="K103" s="59">
        <f>IF(P103="Rohstoffhandel","— Handel —",IF(J103="","k.A.",IF(J103&gt;=5000,"A: &gt;5 Mrd.",IF(J103&gt;=3000,"B: 3-5 Mrd.",IF(J103&gt;=1000,"C: 1-3 Mrd.","D: 0.1-1 Mrd.")))))</f>
        <v/>
      </c>
      <c r="L103" s="59" t="inlineStr">
        <is>
          <t>k.A.</t>
        </is>
      </c>
      <c r="M103" s="62" t="n">
        <v>1000</v>
      </c>
      <c r="N103" s="61" t="inlineStr">
        <is>
          <t>Privatbesitz</t>
        </is>
      </c>
      <c r="O103" s="59" t="inlineStr">
        <is>
          <t>geschätzt</t>
        </is>
      </c>
      <c r="P103" s="59" t="inlineStr">
        <is>
          <t>im Band</t>
        </is>
      </c>
      <c r="Q103" s="61" t="n"/>
      <c r="R103" s="63" t="n"/>
      <c r="S103" s="63" t="n"/>
      <c r="T103" s="63" t="n"/>
      <c r="U103" s="64" t="n"/>
      <c r="V103" s="65" t="inlineStr">
        <is>
          <t>https://www.angst-pfister.com/about-us.html</t>
        </is>
      </c>
      <c r="W103" s="59" t="inlineStr">
        <is>
          <t>Angst Pfister</t>
        </is>
      </c>
      <c r="X103" s="66" t="inlineStr">
        <is>
          <t>Stellen suchen</t>
        </is>
      </c>
      <c r="Y103" s="67" t="inlineStr">
        <is>
          <t>https://www.jobs.ch/de/firmen/4422-angst-pfister-ag/stellenangebote/</t>
        </is>
      </c>
    </row>
    <row r="104" ht="15" customHeight="1" s="57">
      <c r="A104" s="69" t="n">
        <v>103</v>
      </c>
      <c r="B104" s="70" t="inlineStr">
        <is>
          <t>3</t>
        </is>
      </c>
      <c r="C104" s="69" t="inlineStr">
        <is>
          <t>Orell Füssli</t>
        </is>
      </c>
      <c r="D104" s="69" t="inlineStr">
        <is>
          <t>Zürich</t>
        </is>
      </c>
      <c r="E104" s="69" t="inlineStr">
        <is>
          <t>ZH</t>
        </is>
      </c>
      <c r="F104" s="71" t="inlineStr">
        <is>
          <t>Sicherheitsdruck</t>
        </is>
      </c>
      <c r="G104" s="71" t="inlineStr">
        <is>
          <t>Banknoten, Sicherheitsdokumente, Identitätskarten</t>
        </is>
      </c>
      <c r="H104" s="72" t="n">
        <v>272.8</v>
      </c>
      <c r="I104" s="69" t="inlineStr">
        <is>
          <t>CHF</t>
        </is>
      </c>
      <c r="J104" s="72">
        <f>IF(H104="","",H104*IF(I104="CHF",1,IF(I104="EUR",'Legende &amp; Kriterien'!$C$13,'Legende &amp; Kriterien'!$C$14)))</f>
        <v/>
      </c>
      <c r="K104" s="69">
        <f>IF(P104="Rohstoffhandel","— Handel —",IF(J104="","k.A.",IF(J104&gt;=5000,"A: &gt;5 Mrd.",IF(J104&gt;=3000,"B: 3-5 Mrd.",IF(J104&gt;=1000,"C: 1-3 Mrd.","D: 0.1-1 Mrd.")))))</f>
        <v/>
      </c>
      <c r="L104" s="69" t="inlineStr">
        <is>
          <t>2025</t>
        </is>
      </c>
      <c r="M104" s="72" t="n">
        <v>680</v>
      </c>
      <c r="N104" s="71" t="inlineStr">
        <is>
          <t>SIX: OFN</t>
        </is>
      </c>
      <c r="O104" s="69" t="inlineStr">
        <is>
          <t>publiziert</t>
        </is>
      </c>
      <c r="P104" s="69" t="inlineStr">
        <is>
          <t>Grenzfall</t>
        </is>
      </c>
      <c r="Q104" s="71" t="inlineStr">
        <is>
          <t>Rund die Hälfte des Umsatzes ist Buchhandel</t>
        </is>
      </c>
      <c r="R104" s="63" t="n"/>
      <c r="S104" s="63" t="n"/>
      <c r="T104" s="63" t="n"/>
      <c r="U104" s="64" t="n"/>
      <c r="V104" s="73" t="inlineStr">
        <is>
          <t>https://stockanalysis.com/quote/swx/OFN/financials/</t>
        </is>
      </c>
      <c r="W104" s="69" t="inlineStr">
        <is>
          <t>Orell Füssli</t>
        </is>
      </c>
      <c r="X104" s="74" t="inlineStr">
        <is>
          <t>Stellen suchen</t>
        </is>
      </c>
    </row>
    <row r="105" ht="15" customHeight="1" s="57">
      <c r="A105" s="81" t="n">
        <v>104</v>
      </c>
      <c r="B105" s="82" t="inlineStr">
        <is>
          <t>2</t>
        </is>
      </c>
      <c r="C105" s="81" t="inlineStr">
        <is>
          <t>Güdel Group</t>
        </is>
      </c>
      <c r="D105" s="81" t="inlineStr">
        <is>
          <t>Langenthal</t>
        </is>
      </c>
      <c r="E105" s="81" t="inlineStr">
        <is>
          <t>BE</t>
        </is>
      </c>
      <c r="F105" s="83" t="inlineStr">
        <is>
          <t>Automation/Lineartechnik</t>
        </is>
      </c>
      <c r="G105" s="83" t="inlineStr">
        <is>
          <t>Linearachsen, Portalroboter, Zahnstangen, Fertigungslinien</t>
        </is>
      </c>
      <c r="H105" s="84" t="n">
        <v>272</v>
      </c>
      <c r="I105" s="81" t="inlineStr">
        <is>
          <t>CHF</t>
        </is>
      </c>
      <c r="J105" s="84">
        <f>IF(H105="","",H105*IF(I105="CHF",1,IF(I105="EUR",'Legende &amp; Kriterien'!$C$13,'Legende &amp; Kriterien'!$C$14)))</f>
        <v/>
      </c>
      <c r="K105" s="81">
        <f>IF(P105="Rohstoffhandel","— Handel —",IF(J105="","k.A.",IF(J105&gt;=5000,"A: &gt;5 Mrd.",IF(J105&gt;=3000,"B: 3-5 Mrd.",IF(J105&gt;=1000,"C: 1-3 Mrd.","D: 0.1-1 Mrd.")))))</f>
        <v/>
      </c>
      <c r="L105" s="81" t="inlineStr">
        <is>
          <t>2019</t>
        </is>
      </c>
      <c r="M105" s="84" t="n">
        <v>1100</v>
      </c>
      <c r="N105" s="83" t="inlineStr">
        <is>
          <t>Familie Güdel</t>
        </is>
      </c>
      <c r="O105" s="81" t="inlineStr">
        <is>
          <t>veraltet</t>
        </is>
      </c>
      <c r="P105" s="81" t="inlineStr">
        <is>
          <t>im Band</t>
        </is>
      </c>
      <c r="Q105" s="83" t="n"/>
      <c r="R105" s="63" t="n"/>
      <c r="S105" s="63" t="n"/>
      <c r="T105" s="63" t="n"/>
      <c r="U105" s="64" t="n"/>
      <c r="V105" s="85" t="inlineStr">
        <is>
          <t>https://de.wikipedia.org/wiki/G%C3%BCdel</t>
        </is>
      </c>
      <c r="W105" s="81" t="inlineStr">
        <is>
          <t>Güdel</t>
        </is>
      </c>
      <c r="X105" s="86" t="inlineStr">
        <is>
          <t>Stellen suchen</t>
        </is>
      </c>
    </row>
    <row r="106" ht="15" customHeight="1" s="57">
      <c r="A106" s="81" t="n">
        <v>105</v>
      </c>
      <c r="B106" s="82" t="inlineStr">
        <is>
          <t>3</t>
        </is>
      </c>
      <c r="C106" s="81" t="inlineStr">
        <is>
          <t>Medartis</t>
        </is>
      </c>
      <c r="D106" s="81" t="inlineStr">
        <is>
          <t>Basel</t>
        </is>
      </c>
      <c r="E106" s="81" t="inlineStr">
        <is>
          <t>BS</t>
        </is>
      </c>
      <c r="F106" s="83" t="inlineStr">
        <is>
          <t>Medtech</t>
        </is>
      </c>
      <c r="G106" s="83" t="inlineStr">
        <is>
          <t>Titanimplantate für Extremitäten- und Kieferchirurgie</t>
        </is>
      </c>
      <c r="H106" s="84" t="n">
        <v>269.3</v>
      </c>
      <c r="I106" s="81" t="inlineStr">
        <is>
          <t>CHF</t>
        </is>
      </c>
      <c r="J106" s="84">
        <f>IF(H106="","",H106*IF(I106="CHF",1,IF(I106="EUR",'Legende &amp; Kriterien'!$C$13,'Legende &amp; Kriterien'!$C$14)))</f>
        <v/>
      </c>
      <c r="K106" s="81">
        <f>IF(P106="Rohstoffhandel","— Handel —",IF(J106="","k.A.",IF(J106&gt;=5000,"A: &gt;5 Mrd.",IF(J106&gt;=3000,"B: 3-5 Mrd.",IF(J106&gt;=1000,"C: 1-3 Mrd.","D: 0.1-1 Mrd.")))))</f>
        <v/>
      </c>
      <c r="L106" s="81" t="inlineStr">
        <is>
          <t>2025</t>
        </is>
      </c>
      <c r="M106" s="84" t="n">
        <v>1340</v>
      </c>
      <c r="N106" s="83" t="inlineStr">
        <is>
          <t>SIX: MED</t>
        </is>
      </c>
      <c r="O106" s="81" t="inlineStr">
        <is>
          <t>publiziert</t>
        </is>
      </c>
      <c r="P106" s="81" t="inlineStr">
        <is>
          <t>im Band</t>
        </is>
      </c>
      <c r="Q106" s="83" t="n"/>
      <c r="R106" s="63" t="n"/>
      <c r="S106" s="63" t="n"/>
      <c r="T106" s="63" t="n"/>
      <c r="U106" s="64" t="n"/>
      <c r="V106" s="85" t="inlineStr">
        <is>
          <t>https://stockanalysis.com/quote/swx/MED/financials/</t>
        </is>
      </c>
      <c r="W106" s="81" t="inlineStr">
        <is>
          <t>Medartis</t>
        </is>
      </c>
      <c r="X106" s="86" t="inlineStr">
        <is>
          <t>Stellen suchen</t>
        </is>
      </c>
    </row>
    <row r="107" ht="15" customHeight="1" s="57">
      <c r="A107" s="81" t="n">
        <v>106</v>
      </c>
      <c r="B107" s="82" t="inlineStr">
        <is>
          <t>3</t>
        </is>
      </c>
      <c r="C107" s="81" t="inlineStr">
        <is>
          <t>Georg Utz Holding</t>
        </is>
      </c>
      <c r="D107" s="81" t="inlineStr">
        <is>
          <t>Bremgarten</t>
        </is>
      </c>
      <c r="E107" s="81" t="inlineStr">
        <is>
          <t>AG</t>
        </is>
      </c>
      <c r="F107" s="83" t="inlineStr">
        <is>
          <t>Intralogistik-Komponenten</t>
        </is>
      </c>
      <c r="G107" s="83" t="inlineStr">
        <is>
          <t>Kunststoff-Behälter, Werkstückträger, Paletten</t>
        </is>
      </c>
      <c r="H107" s="84" t="n">
        <v>260</v>
      </c>
      <c r="I107" s="81" t="inlineStr">
        <is>
          <t>CHF</t>
        </is>
      </c>
      <c r="J107" s="84">
        <f>IF(H107="","",H107*IF(I107="CHF",1,IF(I107="EUR",'Legende &amp; Kriterien'!$C$13,'Legende &amp; Kriterien'!$C$14)))</f>
        <v/>
      </c>
      <c r="K107" s="81">
        <f>IF(P107="Rohstoffhandel","— Handel —",IF(J107="","k.A.",IF(J107&gt;=5000,"A: &gt;5 Mrd.",IF(J107&gt;=3000,"B: 3-5 Mrd.",IF(J107&gt;=1000,"C: 1-3 Mrd.","D: 0.1-1 Mrd.")))))</f>
        <v/>
      </c>
      <c r="L107" s="81" t="inlineStr">
        <is>
          <t>2017</t>
        </is>
      </c>
      <c r="M107" s="84" t="n">
        <v>1050</v>
      </c>
      <c r="N107" s="83" t="inlineStr">
        <is>
          <t>Familie Utz</t>
        </is>
      </c>
      <c r="O107" s="81" t="inlineStr">
        <is>
          <t>veraltet</t>
        </is>
      </c>
      <c r="P107" s="81" t="inlineStr">
        <is>
          <t>im Band</t>
        </is>
      </c>
      <c r="Q107" s="83" t="n"/>
      <c r="R107" s="63" t="n"/>
      <c r="S107" s="63" t="n"/>
      <c r="T107" s="63" t="n"/>
      <c r="U107" s="64" t="n"/>
      <c r="V107" s="85" t="inlineStr">
        <is>
          <t>https://www.packaktuell.ch/unternehmen/utz-gruppe-bleibt-auf-wachstumskurs-wechsel-im-verwaltungsrat-187413</t>
        </is>
      </c>
      <c r="W107" s="81" t="inlineStr">
        <is>
          <t>Georg Utz</t>
        </is>
      </c>
      <c r="X107" s="86" t="inlineStr">
        <is>
          <t>Stellen suchen</t>
        </is>
      </c>
    </row>
    <row r="108" ht="23.25" customHeight="1" s="57">
      <c r="A108" s="81" t="n">
        <v>107</v>
      </c>
      <c r="B108" s="82" t="inlineStr">
        <is>
          <t>2</t>
        </is>
      </c>
      <c r="C108" s="81" t="inlineStr">
        <is>
          <t>u-blox</t>
        </is>
      </c>
      <c r="D108" s="81" t="inlineStr">
        <is>
          <t>Thalwil</t>
        </is>
      </c>
      <c r="E108" s="81" t="inlineStr">
        <is>
          <t>ZH</t>
        </is>
      </c>
      <c r="F108" s="83" t="inlineStr">
        <is>
          <t>Halbleiter/IoT</t>
        </is>
      </c>
      <c r="G108" s="83" t="inlineStr">
        <is>
          <t>GNSS-Positionierungschips und -module, Kurzstreckenfunk</t>
        </is>
      </c>
      <c r="H108" s="84" t="n">
        <v>250</v>
      </c>
      <c r="I108" s="81" t="inlineStr">
        <is>
          <t>CHF</t>
        </is>
      </c>
      <c r="J108" s="84">
        <f>IF(H108="","",H108*IF(I108="CHF",1,IF(I108="EUR",'Legende &amp; Kriterien'!$C$13,'Legende &amp; Kriterien'!$C$14)))</f>
        <v/>
      </c>
      <c r="K108" s="81">
        <f>IF(P108="Rohstoffhandel","— Handel —",IF(J108="","k.A.",IF(J108&gt;=5000,"A: &gt;5 Mrd.",IF(J108&gt;=3000,"B: 3-5 Mrd.",IF(J108&gt;=1000,"C: 1-3 Mrd.","D: 0.1-1 Mrd.")))))</f>
        <v/>
      </c>
      <c r="L108" s="81" t="inlineStr">
        <is>
          <t>2025</t>
        </is>
      </c>
      <c r="M108" s="84" t="n">
        <v>1150</v>
      </c>
      <c r="N108" s="83" t="inlineStr">
        <is>
          <t>Advent International (privat)</t>
        </is>
      </c>
      <c r="O108" s="81" t="inlineStr">
        <is>
          <t>geschätzt</t>
        </is>
      </c>
      <c r="P108" s="81" t="inlineStr">
        <is>
          <t>im Band</t>
        </is>
      </c>
      <c r="Q108" s="83" t="inlineStr">
        <is>
          <t>Delisting SIX 18.05.2026; Cellular-Geschäft 2025 an Trasna verkauft</t>
        </is>
      </c>
      <c r="R108" s="63" t="n"/>
      <c r="S108" s="63" t="n"/>
      <c r="T108" s="63" t="n"/>
      <c r="U108" s="64" t="n"/>
      <c r="V108" s="85" t="inlineStr">
        <is>
          <t>https://www.u-blox.com/en/investors</t>
        </is>
      </c>
      <c r="W108" s="81" t="inlineStr">
        <is>
          <t>u-blox</t>
        </is>
      </c>
      <c r="X108" s="86" t="inlineStr">
        <is>
          <t>Stellen suchen</t>
        </is>
      </c>
    </row>
    <row r="109" ht="15" customHeight="1" s="57">
      <c r="A109" s="81" t="n">
        <v>108</v>
      </c>
      <c r="B109" s="82" t="inlineStr">
        <is>
          <t>3</t>
        </is>
      </c>
      <c r="C109" s="81" t="inlineStr">
        <is>
          <t>Bernina International</t>
        </is>
      </c>
      <c r="D109" s="81" t="inlineStr">
        <is>
          <t>Steckborn</t>
        </is>
      </c>
      <c r="E109" s="81" t="inlineStr">
        <is>
          <t>TG</t>
        </is>
      </c>
      <c r="F109" s="83" t="inlineStr">
        <is>
          <t>Präzisionsmaschinen</t>
        </is>
      </c>
      <c r="G109" s="83" t="inlineStr">
        <is>
          <t>Näh-, Stick- und Overlockmaschinen sowie Software</t>
        </is>
      </c>
      <c r="H109" s="84" t="n">
        <v>241</v>
      </c>
      <c r="I109" s="81" t="inlineStr">
        <is>
          <t>CHF</t>
        </is>
      </c>
      <c r="J109" s="84">
        <f>IF(H109="","",H109*IF(I109="CHF",1,IF(I109="EUR",'Legende &amp; Kriterien'!$C$13,'Legende &amp; Kriterien'!$C$14)))</f>
        <v/>
      </c>
      <c r="K109" s="81">
        <f>IF(P109="Rohstoffhandel","— Handel —",IF(J109="","k.A.",IF(J109&gt;=5000,"A: &gt;5 Mrd.",IF(J109&gt;=3000,"B: 3-5 Mrd.",IF(J109&gt;=1000,"C: 1-3 Mrd.","D: 0.1-1 Mrd.")))))</f>
        <v/>
      </c>
      <c r="L109" s="81" t="inlineStr">
        <is>
          <t>2023</t>
        </is>
      </c>
      <c r="M109" s="84" t="n">
        <v>1000</v>
      </c>
      <c r="N109" s="83" t="inlineStr">
        <is>
          <t>Familie Ueltschi</t>
        </is>
      </c>
      <c r="O109" s="81" t="inlineStr">
        <is>
          <t>veraltet</t>
        </is>
      </c>
      <c r="P109" s="81" t="inlineStr">
        <is>
          <t>im Band</t>
        </is>
      </c>
      <c r="Q109" s="83" t="n"/>
      <c r="R109" s="63" t="n"/>
      <c r="S109" s="63" t="n"/>
      <c r="T109" s="63" t="n"/>
      <c r="U109" s="64" t="n"/>
      <c r="V109" s="85" t="inlineStr">
        <is>
          <t>https://de.wikipedia.org/wiki/Bernina_N%C3%A4hmaschinenfabrik</t>
        </is>
      </c>
      <c r="W109" s="81" t="inlineStr">
        <is>
          <t>Bernina</t>
        </is>
      </c>
      <c r="X109" s="86" t="inlineStr">
        <is>
          <t>Stellen suchen</t>
        </is>
      </c>
    </row>
    <row r="110" ht="15" customHeight="1" s="57">
      <c r="A110" s="81" t="n">
        <v>109</v>
      </c>
      <c r="B110" s="82" t="inlineStr">
        <is>
          <t>3</t>
        </is>
      </c>
      <c r="C110" s="81" t="inlineStr">
        <is>
          <t>COLTENE</t>
        </is>
      </c>
      <c r="D110" s="81" t="inlineStr">
        <is>
          <t>Altstätten</t>
        </is>
      </c>
      <c r="E110" s="81" t="inlineStr">
        <is>
          <t>SG</t>
        </is>
      </c>
      <c r="F110" s="83" t="inlineStr">
        <is>
          <t>Medtech/Dental</t>
        </is>
      </c>
      <c r="G110" s="83" t="inlineStr">
        <is>
          <t>Dentalgeräte und Verbrauchsmaterialien</t>
        </is>
      </c>
      <c r="H110" s="84" t="n">
        <v>240.1</v>
      </c>
      <c r="I110" s="81" t="inlineStr">
        <is>
          <t>CHF</t>
        </is>
      </c>
      <c r="J110" s="84">
        <f>IF(H110="","",H110*IF(I110="CHF",1,IF(I110="EUR",'Legende &amp; Kriterien'!$C$13,'Legende &amp; Kriterien'!$C$14)))</f>
        <v/>
      </c>
      <c r="K110" s="81">
        <f>IF(P110="Rohstoffhandel","— Handel —",IF(J110="","k.A.",IF(J110&gt;=5000,"A: &gt;5 Mrd.",IF(J110&gt;=3000,"B: 3-5 Mrd.",IF(J110&gt;=1000,"C: 1-3 Mrd.","D: 0.1-1 Mrd.")))))</f>
        <v/>
      </c>
      <c r="L110" s="81" t="inlineStr">
        <is>
          <t>2025</t>
        </is>
      </c>
      <c r="M110" s="84" t="n">
        <v>1140</v>
      </c>
      <c r="N110" s="83" t="inlineStr">
        <is>
          <t>SIX: CLTN</t>
        </is>
      </c>
      <c r="O110" s="81" t="inlineStr">
        <is>
          <t>publiziert</t>
        </is>
      </c>
      <c r="P110" s="81" t="inlineStr">
        <is>
          <t>im Band</t>
        </is>
      </c>
      <c r="Q110" s="83" t="n"/>
      <c r="R110" s="63" t="n"/>
      <c r="S110" s="63" t="n"/>
      <c r="T110" s="63" t="n"/>
      <c r="U110" s="64" t="n"/>
      <c r="V110" s="85" t="inlineStr">
        <is>
          <t>https://stockanalysis.com/quote/swx/CLTN/financials/</t>
        </is>
      </c>
      <c r="W110" s="81" t="inlineStr">
        <is>
          <t>COLTENE</t>
        </is>
      </c>
      <c r="X110" s="86" t="inlineStr">
        <is>
          <t>Stellen suchen</t>
        </is>
      </c>
    </row>
    <row r="111" ht="15" customHeight="1" s="57">
      <c r="A111" s="81" t="n">
        <v>110</v>
      </c>
      <c r="B111" s="82" t="inlineStr">
        <is>
          <t>3</t>
        </is>
      </c>
      <c r="C111" s="81" t="inlineStr">
        <is>
          <t>NETSTAL Maschinen</t>
        </is>
      </c>
      <c r="D111" s="81" t="inlineStr">
        <is>
          <t>Näfels</t>
        </is>
      </c>
      <c r="E111" s="81" t="inlineStr">
        <is>
          <t>GL</t>
        </is>
      </c>
      <c r="F111" s="83" t="inlineStr">
        <is>
          <t>Kunststoffmaschinen</t>
        </is>
      </c>
      <c r="G111" s="83" t="inlineStr">
        <is>
          <t>Hochleistungs-Spritzgiessmaschinen für PET und Medizintechnik</t>
        </is>
      </c>
      <c r="H111" s="84" t="n">
        <v>225</v>
      </c>
      <c r="I111" s="81" t="inlineStr">
        <is>
          <t>CHF</t>
        </is>
      </c>
      <c r="J111" s="84">
        <f>IF(H111="","",H111*IF(I111="CHF",1,IF(I111="EUR",'Legende &amp; Kriterien'!$C$13,'Legende &amp; Kriterien'!$C$14)))</f>
        <v/>
      </c>
      <c r="K111" s="81">
        <f>IF(P111="Rohstoffhandel","— Handel —",IF(J111="","k.A.",IF(J111&gt;=5000,"A: &gt;5 Mrd.",IF(J111&gt;=3000,"B: 3-5 Mrd.",IF(J111&gt;=1000,"C: 1-3 Mrd.","D: 0.1-1 Mrd.")))))</f>
        <v/>
      </c>
      <c r="L111" s="81" t="inlineStr">
        <is>
          <t>k.A.</t>
        </is>
      </c>
      <c r="M111" s="84" t="n">
        <v>450</v>
      </c>
      <c r="N111" s="83" t="inlineStr">
        <is>
          <t>Krones AG (DE)</t>
        </is>
      </c>
      <c r="O111" s="81" t="inlineStr">
        <is>
          <t>geschätzt</t>
        </is>
      </c>
      <c r="P111" s="81" t="inlineStr">
        <is>
          <t>im Band</t>
        </is>
      </c>
      <c r="Q111" s="83" t="inlineStr">
        <is>
          <t>CH-Standort eines DE-Konzerns</t>
        </is>
      </c>
      <c r="R111" s="63" t="n"/>
      <c r="S111" s="63" t="n"/>
      <c r="T111" s="63" t="n"/>
      <c r="U111" s="64" t="n"/>
      <c r="V111" s="85" t="inlineStr">
        <is>
          <t>https://www.kunststoffweb.de/branchen-news/netstal_krones_erwirbt_schweizer_spritzgiessmaschinenbauer_t254537</t>
        </is>
      </c>
      <c r="W111" s="81" t="inlineStr">
        <is>
          <t>Netstal</t>
        </is>
      </c>
      <c r="X111" s="86" t="inlineStr">
        <is>
          <t>Stellen suchen</t>
        </is>
      </c>
    </row>
    <row r="112" ht="15" customHeight="1" s="57">
      <c r="A112" s="81" t="n">
        <v>111</v>
      </c>
      <c r="B112" s="82" t="inlineStr">
        <is>
          <t>3</t>
        </is>
      </c>
      <c r="C112" s="81" t="inlineStr">
        <is>
          <t>Thermoplan</t>
        </is>
      </c>
      <c r="D112" s="81" t="inlineStr">
        <is>
          <t>Weggis</t>
        </is>
      </c>
      <c r="E112" s="81" t="inlineStr">
        <is>
          <t>LU</t>
        </is>
      </c>
      <c r="F112" s="83" t="inlineStr">
        <is>
          <t>Gerätetechnik/Foodservice</t>
        </is>
      </c>
      <c r="G112" s="83" t="inlineStr">
        <is>
          <t>Vollautomatische Kaffeemaschinen für die Gastronomie</t>
        </is>
      </c>
      <c r="H112" s="84" t="n">
        <v>225</v>
      </c>
      <c r="I112" s="81" t="inlineStr">
        <is>
          <t>CHF</t>
        </is>
      </c>
      <c r="J112" s="84">
        <f>IF(H112="","",H112*IF(I112="CHF",1,IF(I112="EUR",'Legende &amp; Kriterien'!$C$13,'Legende &amp; Kriterien'!$C$14)))</f>
        <v/>
      </c>
      <c r="K112" s="81">
        <f>IF(P112="Rohstoffhandel","— Handel —",IF(J112="","k.A.",IF(J112&gt;=5000,"A: &gt;5 Mrd.",IF(J112&gt;=3000,"B: 3-5 Mrd.",IF(J112&gt;=1000,"C: 1-3 Mrd.","D: 0.1-1 Mrd.")))))</f>
        <v/>
      </c>
      <c r="L112" s="81" t="inlineStr">
        <is>
          <t>k.A.</t>
        </is>
      </c>
      <c r="M112" s="84" t="n">
        <v>500</v>
      </c>
      <c r="N112" s="83" t="inlineStr">
        <is>
          <t>Familie Steiner (100%)</t>
        </is>
      </c>
      <c r="O112" s="81" t="inlineStr">
        <is>
          <t>geschätzt</t>
        </is>
      </c>
      <c r="P112" s="81" t="inlineStr">
        <is>
          <t>im Band</t>
        </is>
      </c>
      <c r="Q112" s="83" t="inlineStr">
        <is>
          <t>Starbucks-Exklusivlieferant</t>
        </is>
      </c>
      <c r="R112" s="63" t="n"/>
      <c r="S112" s="63" t="n"/>
      <c r="T112" s="63" t="n"/>
      <c r="U112" s="64" t="n"/>
      <c r="V112" s="85" t="inlineStr">
        <is>
          <t>https://en.wikipedia.org/wiki/Thermoplan_AG</t>
        </is>
      </c>
      <c r="W112" s="81" t="inlineStr">
        <is>
          <t>Thermoplan</t>
        </is>
      </c>
      <c r="X112" s="86" t="inlineStr">
        <is>
          <t>Stellen suchen</t>
        </is>
      </c>
    </row>
    <row r="113" ht="15" customHeight="1" s="57">
      <c r="A113" s="81" t="n">
        <v>112</v>
      </c>
      <c r="B113" s="82" t="inlineStr">
        <is>
          <t>2</t>
        </is>
      </c>
      <c r="C113" s="81" t="inlineStr">
        <is>
          <t>Zünd Systemtechnik</t>
        </is>
      </c>
      <c r="D113" s="81" t="inlineStr">
        <is>
          <t>Altstätten</t>
        </is>
      </c>
      <c r="E113" s="81" t="inlineStr">
        <is>
          <t>SG</t>
        </is>
      </c>
      <c r="F113" s="83" t="inlineStr">
        <is>
          <t>Maschinenbau/Digitalfertigung</t>
        </is>
      </c>
      <c r="G113" s="83" t="inlineStr">
        <is>
          <t>Digitale Flachbett-Schneidsysteme für Werbung, Textil, Verpackung</t>
        </is>
      </c>
      <c r="H113" s="84" t="n">
        <v>200</v>
      </c>
      <c r="I113" s="81" t="inlineStr">
        <is>
          <t>CHF</t>
        </is>
      </c>
      <c r="J113" s="84">
        <f>IF(H113="","",H113*IF(I113="CHF",1,IF(I113="EUR",'Legende &amp; Kriterien'!$C$13,'Legende &amp; Kriterien'!$C$14)))</f>
        <v/>
      </c>
      <c r="K113" s="81">
        <f>IF(P113="Rohstoffhandel","— Handel —",IF(J113="","k.A.",IF(J113&gt;=5000,"A: &gt;5 Mrd.",IF(J113&gt;=3000,"B: 3-5 Mrd.",IF(J113&gt;=1000,"C: 1-3 Mrd.","D: 0.1-1 Mrd.")))))</f>
        <v/>
      </c>
      <c r="L113" s="81" t="inlineStr">
        <is>
          <t>k.A.</t>
        </is>
      </c>
      <c r="M113" s="84" t="n">
        <v>500</v>
      </c>
      <c r="N113" s="83" t="inlineStr">
        <is>
          <t>Familie Zünd</t>
        </is>
      </c>
      <c r="O113" s="81" t="inlineStr">
        <is>
          <t>geschätzt</t>
        </is>
      </c>
      <c r="P113" s="81" t="inlineStr">
        <is>
          <t>im Band</t>
        </is>
      </c>
      <c r="Q113" s="83" t="n"/>
      <c r="R113" s="63" t="n"/>
      <c r="S113" s="63" t="n"/>
      <c r="T113" s="63" t="n"/>
      <c r="U113" s="64" t="n"/>
      <c r="V113" s="85" t="inlineStr">
        <is>
          <t>https://www.zund.com/</t>
        </is>
      </c>
      <c r="W113" s="81" t="inlineStr">
        <is>
          <t>Zünd</t>
        </is>
      </c>
      <c r="X113" s="86" t="inlineStr">
        <is>
          <t>Stellen suchen</t>
        </is>
      </c>
    </row>
    <row r="114" ht="15" customHeight="1" s="57">
      <c r="A114" s="81" t="n">
        <v>113</v>
      </c>
      <c r="B114" s="82" t="inlineStr">
        <is>
          <t>3</t>
        </is>
      </c>
      <c r="C114" s="81" t="inlineStr">
        <is>
          <t>Jakob Müller Group</t>
        </is>
      </c>
      <c r="D114" s="81" t="inlineStr">
        <is>
          <t>Frick</t>
        </is>
      </c>
      <c r="E114" s="81" t="inlineStr">
        <is>
          <t>AG</t>
        </is>
      </c>
      <c r="F114" s="83" t="inlineStr">
        <is>
          <t>Textilmaschinen</t>
        </is>
      </c>
      <c r="G114" s="83" t="inlineStr">
        <is>
          <t>Bandweb-, Häkelgalon- und Ausrüstmaschinen für Schmalgewebe</t>
        </is>
      </c>
      <c r="H114" s="84" t="n">
        <v>200</v>
      </c>
      <c r="I114" s="81" t="inlineStr">
        <is>
          <t>CHF</t>
        </is>
      </c>
      <c r="J114" s="84">
        <f>IF(H114="","",H114*IF(I114="CHF",1,IF(I114="EUR",'Legende &amp; Kriterien'!$C$13,'Legende &amp; Kriterien'!$C$14)))</f>
        <v/>
      </c>
      <c r="K114" s="81">
        <f>IF(P114="Rohstoffhandel","— Handel —",IF(J114="","k.A.",IF(J114&gt;=5000,"A: &gt;5 Mrd.",IF(J114&gt;=3000,"B: 3-5 Mrd.",IF(J114&gt;=1000,"C: 1-3 Mrd.","D: 0.1-1 Mrd.")))))</f>
        <v/>
      </c>
      <c r="L114" s="81" t="inlineStr">
        <is>
          <t>k.A.</t>
        </is>
      </c>
      <c r="M114" s="84" t="n">
        <v>1000</v>
      </c>
      <c r="N114" s="83" t="inlineStr">
        <is>
          <t>Familien-/Privatbesitz</t>
        </is>
      </c>
      <c r="O114" s="81" t="inlineStr">
        <is>
          <t>geschätzt</t>
        </is>
      </c>
      <c r="P114" s="81" t="inlineStr">
        <is>
          <t>im Band</t>
        </is>
      </c>
      <c r="Q114" s="83" t="n"/>
      <c r="R114" s="63" t="n"/>
      <c r="S114" s="63" t="n"/>
      <c r="T114" s="63" t="n"/>
      <c r="U114" s="64" t="n"/>
      <c r="V114" s="85" t="inlineStr">
        <is>
          <t>https://www.mueller-frick.com/</t>
        </is>
      </c>
      <c r="W114" s="81" t="inlineStr">
        <is>
          <t>Jakob Müller</t>
        </is>
      </c>
      <c r="X114" s="86" t="inlineStr">
        <is>
          <t>Stellen suchen</t>
        </is>
      </c>
    </row>
    <row r="115" ht="23.25" customHeight="1" s="57">
      <c r="A115" s="81" t="n">
        <v>114</v>
      </c>
      <c r="B115" s="82" t="inlineStr">
        <is>
          <t>2</t>
        </is>
      </c>
      <c r="C115" s="81" t="inlineStr">
        <is>
          <t>Leister</t>
        </is>
      </c>
      <c r="D115" s="81" t="inlineStr">
        <is>
          <t>Kägiswil (Sarnen)</t>
        </is>
      </c>
      <c r="E115" s="81" t="inlineStr">
        <is>
          <t>OW</t>
        </is>
      </c>
      <c r="F115" s="83" t="inlineStr">
        <is>
          <t>Prozesstechnik/Sensorik</t>
        </is>
      </c>
      <c r="G115" s="83" t="inlineStr">
        <is>
          <t>Kunststoffschweissgeräte, Prozesswärme, Lasersysteme, Gassensoren (Axetris)</t>
        </is>
      </c>
      <c r="H115" s="84" t="n">
        <v>200</v>
      </c>
      <c r="I115" s="81" t="inlineStr">
        <is>
          <t>CHF</t>
        </is>
      </c>
      <c r="J115" s="84">
        <f>IF(H115="","",H115*IF(I115="CHF",1,IF(I115="EUR",'Legende &amp; Kriterien'!$C$13,'Legende &amp; Kriterien'!$C$14)))</f>
        <v/>
      </c>
      <c r="K115" s="81">
        <f>IF(P115="Rohstoffhandel","— Handel —",IF(J115="","k.A.",IF(J115&gt;=5000,"A: &gt;5 Mrd.",IF(J115&gt;=3000,"B: 3-5 Mrd.",IF(J115&gt;=1000,"C: 1-3 Mrd.","D: 0.1-1 Mrd.")))))</f>
        <v/>
      </c>
      <c r="L115" s="81" t="inlineStr">
        <is>
          <t>k.A.</t>
        </is>
      </c>
      <c r="M115" s="84" t="n">
        <v>900</v>
      </c>
      <c r="N115" s="83" t="inlineStr">
        <is>
          <t>Familie Leister (100%)</t>
        </is>
      </c>
      <c r="O115" s="81" t="inlineStr">
        <is>
          <t>geschätzt</t>
        </is>
      </c>
      <c r="P115" s="81" t="inlineStr">
        <is>
          <t>im Band</t>
        </is>
      </c>
      <c r="Q115" s="83" t="inlineStr">
        <is>
          <t>Publiziert bewusst keine Zahlen; ca. 590 MA in der Schweiz, Exportquote 98%</t>
        </is>
      </c>
      <c r="R115" s="63" t="n"/>
      <c r="S115" s="63" t="n"/>
      <c r="T115" s="63" t="n"/>
      <c r="U115" s="64" t="n"/>
      <c r="V115" s="85" t="inlineStr">
        <is>
          <t>https://www.leister.com/en-de/About-Us/We-are-Leister</t>
        </is>
      </c>
      <c r="W115" s="81" t="inlineStr">
        <is>
          <t>Leister</t>
        </is>
      </c>
      <c r="X115" s="86" t="inlineStr">
        <is>
          <t>Stellen suchen</t>
        </is>
      </c>
    </row>
    <row r="116" ht="23.25" customHeight="1" s="57">
      <c r="A116" s="59" t="n">
        <v>115</v>
      </c>
      <c r="B116" s="60" t="inlineStr">
        <is>
          <t>1</t>
        </is>
      </c>
      <c r="C116" s="59" t="inlineStr">
        <is>
          <t>Metall Zug</t>
        </is>
      </c>
      <c r="D116" s="59" t="inlineStr">
        <is>
          <t>Zug</t>
        </is>
      </c>
      <c r="E116" s="59" t="inlineStr">
        <is>
          <t>ZG</t>
        </is>
      </c>
      <c r="F116" s="61" t="inlineStr">
        <is>
          <t>Medtech/Holding</t>
        </is>
      </c>
      <c r="G116" s="61" t="inlineStr">
        <is>
          <t>Augenheilkundegeräte und Chirurgiemikroskope (Haag-Streit), Beteiligungen</t>
        </is>
      </c>
      <c r="H116" s="62" t="n">
        <v>194.6</v>
      </c>
      <c r="I116" s="59" t="inlineStr">
        <is>
          <t>CHF</t>
        </is>
      </c>
      <c r="J116" s="62">
        <f>IF(H116="","",H116*IF(I116="CHF",1,IF(I116="EUR",'Legende &amp; Kriterien'!$C$13,'Legende &amp; Kriterien'!$C$14)))</f>
        <v/>
      </c>
      <c r="K116" s="59">
        <f>IF(P116="Rohstoffhandel","— Handel —",IF(J116="","k.A.",IF(J116&gt;=5000,"A: &gt;5 Mrd.",IF(J116&gt;=3000,"B: 3-5 Mrd.",IF(J116&gt;=1000,"C: 1-3 Mrd.","D: 0.1-1 Mrd.")))))</f>
        <v/>
      </c>
      <c r="L116" s="59" t="inlineStr">
        <is>
          <t>2025</t>
        </is>
      </c>
      <c r="M116" s="62" t="n">
        <v>910</v>
      </c>
      <c r="N116" s="61" t="inlineStr">
        <is>
          <t>SIX: METN</t>
        </is>
      </c>
      <c r="O116" s="59" t="inlineStr">
        <is>
          <t>publiziert</t>
        </is>
      </c>
      <c r="P116" s="59" t="inlineStr">
        <is>
          <t>im Band</t>
        </is>
      </c>
      <c r="Q116" s="61" t="inlineStr">
        <is>
          <t>Belimed dekonsolidiert; hält 30% V-ZUG, 25% Komax</t>
        </is>
      </c>
      <c r="R116" s="63" t="n"/>
      <c r="S116" s="63" t="n"/>
      <c r="T116" s="63" t="n"/>
      <c r="U116" s="64" t="n"/>
      <c r="V116" s="65" t="inlineStr">
        <is>
          <t>https://www.eqs-news.com/news/ad-hoc/metall-zug-results-for-the-2025-financial-year/5fb65c5a-e0ed-4246-9781-35331a5c9158_en</t>
        </is>
      </c>
      <c r="W116" s="59" t="inlineStr">
        <is>
          <t>Haag-Streit</t>
        </is>
      </c>
      <c r="X116" s="66" t="inlineStr">
        <is>
          <t>Stellen suchen</t>
        </is>
      </c>
      <c r="Y116" s="67" t="inlineStr">
        <is>
          <t>https://www.jobs.ch/en/companies/813-haag-streit-ag/</t>
        </is>
      </c>
    </row>
    <row r="117" ht="15" customHeight="1" s="57">
      <c r="A117" s="81" t="n">
        <v>116</v>
      </c>
      <c r="B117" s="82" t="inlineStr">
        <is>
          <t>3</t>
        </is>
      </c>
      <c r="C117" s="81" t="inlineStr">
        <is>
          <t>Elma Electronic</t>
        </is>
      </c>
      <c r="D117" s="81" t="inlineStr">
        <is>
          <t>Wetzikon</t>
        </is>
      </c>
      <c r="E117" s="81" t="inlineStr">
        <is>
          <t>ZH</t>
        </is>
      </c>
      <c r="F117" s="83" t="inlineStr">
        <is>
          <t>Elektronik</t>
        </is>
      </c>
      <c r="G117" s="83" t="inlineStr">
        <is>
          <t>Elektronikgehäuse, Baugruppenträger, Backplanes, Embedded</t>
        </is>
      </c>
      <c r="H117" s="84" t="n">
        <v>176</v>
      </c>
      <c r="I117" s="81" t="inlineStr">
        <is>
          <t>CHF</t>
        </is>
      </c>
      <c r="J117" s="84">
        <f>IF(H117="","",H117*IF(I117="CHF",1,IF(I117="EUR",'Legende &amp; Kriterien'!$C$13,'Legende &amp; Kriterien'!$C$14)))</f>
        <v/>
      </c>
      <c r="K117" s="81">
        <f>IF(P117="Rohstoffhandel","— Handel —",IF(J117="","k.A.",IF(J117&gt;=5000,"A: &gt;5 Mrd.",IF(J117&gt;=3000,"B: 3-5 Mrd.",IF(J117&gt;=1000,"C: 1-3 Mrd.","D: 0.1-1 Mrd.")))))</f>
        <v/>
      </c>
      <c r="L117" s="81" t="inlineStr">
        <is>
          <t>2025</t>
        </is>
      </c>
      <c r="M117" s="84" t="n">
        <v>820</v>
      </c>
      <c r="N117" s="83" t="inlineStr">
        <is>
          <t>SIX: ELMN</t>
        </is>
      </c>
      <c r="O117" s="81" t="inlineStr">
        <is>
          <t>publiziert</t>
        </is>
      </c>
      <c r="P117" s="81" t="inlineStr">
        <is>
          <t>im Band</t>
        </is>
      </c>
      <c r="Q117" s="83" t="n"/>
      <c r="R117" s="63" t="n"/>
      <c r="S117" s="63" t="n"/>
      <c r="T117" s="63" t="n"/>
      <c r="U117" s="64" t="n"/>
      <c r="V117" s="85" t="inlineStr">
        <is>
          <t>https://stockanalysis.com/quote/swx/ELMN/financials/</t>
        </is>
      </c>
      <c r="W117" s="81" t="inlineStr">
        <is>
          <t>Elma Electronic</t>
        </is>
      </c>
      <c r="X117" s="86" t="inlineStr">
        <is>
          <t>Stellen suchen</t>
        </is>
      </c>
    </row>
    <row r="118" ht="23.25" customHeight="1" s="57">
      <c r="A118" s="81" t="n">
        <v>117</v>
      </c>
      <c r="B118" s="82" t="inlineStr">
        <is>
          <t>3</t>
        </is>
      </c>
      <c r="C118" s="81" t="inlineStr">
        <is>
          <t>Ferrum Gruppe</t>
        </is>
      </c>
      <c r="D118" s="81" t="inlineStr">
        <is>
          <t>Rupperswil</t>
        </is>
      </c>
      <c r="E118" s="81" t="inlineStr">
        <is>
          <t>AG</t>
        </is>
      </c>
      <c r="F118" s="83" t="inlineStr">
        <is>
          <t>Verfahrenstechnik</t>
        </is>
      </c>
      <c r="G118" s="83" t="inlineStr">
        <is>
          <t>Dosenverschliessmaschinen und Zentrifugen für Chemie und Pharma</t>
        </is>
      </c>
      <c r="H118" s="84" t="n">
        <v>175</v>
      </c>
      <c r="I118" s="81" t="inlineStr">
        <is>
          <t>CHF</t>
        </is>
      </c>
      <c r="J118" s="84">
        <f>IF(H118="","",H118*IF(I118="CHF",1,IF(I118="EUR",'Legende &amp; Kriterien'!$C$13,'Legende &amp; Kriterien'!$C$14)))</f>
        <v/>
      </c>
      <c r="K118" s="81">
        <f>IF(P118="Rohstoffhandel","— Handel —",IF(J118="","k.A.",IF(J118&gt;=5000,"A: &gt;5 Mrd.",IF(J118&gt;=3000,"B: 3-5 Mrd.",IF(J118&gt;=1000,"C: 1-3 Mrd.","D: 0.1-1 Mrd.")))))</f>
        <v/>
      </c>
      <c r="L118" s="81" t="inlineStr">
        <is>
          <t>k.A.</t>
        </is>
      </c>
      <c r="M118" s="84" t="n">
        <v>800</v>
      </c>
      <c r="N118" s="83" t="inlineStr">
        <is>
          <t>Familienunternehmen</t>
        </is>
      </c>
      <c r="O118" s="81" t="inlineStr">
        <is>
          <t>geschätzt</t>
        </is>
      </c>
      <c r="P118" s="81" t="inlineStr">
        <is>
          <t>im Band</t>
        </is>
      </c>
      <c r="Q118" s="83" t="n"/>
      <c r="R118" s="63" t="n"/>
      <c r="S118" s="63" t="n"/>
      <c r="T118" s="63" t="n"/>
      <c r="U118" s="64" t="n"/>
      <c r="V118" s="85" t="inlineStr">
        <is>
          <t>https://www.ferrum.net/en/about-us/group.php</t>
        </is>
      </c>
      <c r="W118" s="81" t="inlineStr">
        <is>
          <t>Ferrum</t>
        </is>
      </c>
      <c r="X118" s="86" t="inlineStr">
        <is>
          <t>Stellen suchen</t>
        </is>
      </c>
    </row>
    <row r="119" ht="15" customHeight="1" s="57">
      <c r="A119" s="81" t="n">
        <v>118</v>
      </c>
      <c r="B119" s="82" t="inlineStr">
        <is>
          <t>3</t>
        </is>
      </c>
      <c r="C119" s="81" t="inlineStr">
        <is>
          <t>Otto Suhner (SUHNER)</t>
        </is>
      </c>
      <c r="D119" s="81" t="inlineStr">
        <is>
          <t>Lupfig</t>
        </is>
      </c>
      <c r="E119" s="81" t="inlineStr">
        <is>
          <t>AG</t>
        </is>
      </c>
      <c r="F119" s="83" t="inlineStr">
        <is>
          <t>Fertigungstechnik</t>
        </is>
      </c>
      <c r="G119" s="83" t="inlineStr">
        <is>
          <t>Biegsame Wellen, Schleif- und Frässpindeln, Bearbeitungseinheiten</t>
        </is>
      </c>
      <c r="H119" s="84" t="n">
        <v>175</v>
      </c>
      <c r="I119" s="81" t="inlineStr">
        <is>
          <t>CHF</t>
        </is>
      </c>
      <c r="J119" s="84">
        <f>IF(H119="","",H119*IF(I119="CHF",1,IF(I119="EUR",'Legende &amp; Kriterien'!$C$13,'Legende &amp; Kriterien'!$C$14)))</f>
        <v/>
      </c>
      <c r="K119" s="81">
        <f>IF(P119="Rohstoffhandel","— Handel —",IF(J119="","k.A.",IF(J119&gt;=5000,"A: &gt;5 Mrd.",IF(J119&gt;=3000,"B: 3-5 Mrd.",IF(J119&gt;=1000,"C: 1-3 Mrd.","D: 0.1-1 Mrd.")))))</f>
        <v/>
      </c>
      <c r="L119" s="81" t="inlineStr">
        <is>
          <t>k.A.</t>
        </is>
      </c>
      <c r="M119" s="84" t="n">
        <v>700</v>
      </c>
      <c r="N119" s="83" t="inlineStr">
        <is>
          <t>Familie Suhner</t>
        </is>
      </c>
      <c r="O119" s="81" t="inlineStr">
        <is>
          <t>geschätzt</t>
        </is>
      </c>
      <c r="P119" s="81" t="inlineStr">
        <is>
          <t>im Band</t>
        </is>
      </c>
      <c r="Q119" s="83" t="n"/>
      <c r="R119" s="63" t="n"/>
      <c r="S119" s="63" t="n"/>
      <c r="T119" s="63" t="n"/>
      <c r="U119" s="64" t="n"/>
      <c r="V119" s="85" t="inlineStr">
        <is>
          <t>https://www.suhner.com/</t>
        </is>
      </c>
      <c r="W119" s="81" t="inlineStr">
        <is>
          <t>Suhner</t>
        </is>
      </c>
      <c r="X119" s="86" t="inlineStr">
        <is>
          <t>Stellen suchen</t>
        </is>
      </c>
    </row>
    <row r="120" ht="15" customHeight="1" s="57">
      <c r="A120" s="81" t="n">
        <v>119</v>
      </c>
      <c r="B120" s="82" t="inlineStr">
        <is>
          <t>2</t>
        </is>
      </c>
      <c r="C120" s="81" t="inlineStr">
        <is>
          <t>Uster Technologies</t>
        </is>
      </c>
      <c r="D120" s="81" t="inlineStr">
        <is>
          <t>Uster</t>
        </is>
      </c>
      <c r="E120" s="81" t="inlineStr">
        <is>
          <t>ZH</t>
        </is>
      </c>
      <c r="F120" s="83" t="inlineStr">
        <is>
          <t>Mess-/Prüftechnik</t>
        </is>
      </c>
      <c r="G120" s="83" t="inlineStr">
        <is>
          <t>Prüf- und Überwachungssysteme für Garn, Faser, Gewebe</t>
        </is>
      </c>
      <c r="H120" s="84" t="n">
        <v>175</v>
      </c>
      <c r="I120" s="81" t="inlineStr">
        <is>
          <t>CHF</t>
        </is>
      </c>
      <c r="J120" s="84">
        <f>IF(H120="","",H120*IF(I120="CHF",1,IF(I120="EUR",'Legende &amp; Kriterien'!$C$13,'Legende &amp; Kriterien'!$C$14)))</f>
        <v/>
      </c>
      <c r="K120" s="81">
        <f>IF(P120="Rohstoffhandel","— Handel —",IF(J120="","k.A.",IF(J120&gt;=5000,"A: &gt;5 Mrd.",IF(J120&gt;=3000,"B: 3-5 Mrd.",IF(J120&gt;=1000,"C: 1-3 Mrd.","D: 0.1-1 Mrd.")))))</f>
        <v/>
      </c>
      <c r="L120" s="81" t="inlineStr">
        <is>
          <t>k.A.</t>
        </is>
      </c>
      <c r="M120" s="84" t="n">
        <v>550</v>
      </c>
      <c r="N120" s="83" t="inlineStr">
        <is>
          <t>Toyota Industries (JP)</t>
        </is>
      </c>
      <c r="O120" s="81" t="inlineStr">
        <is>
          <t>geschätzt</t>
        </is>
      </c>
      <c r="P120" s="81" t="inlineStr">
        <is>
          <t>im Band</t>
        </is>
      </c>
      <c r="Q120" s="83" t="n"/>
      <c r="R120" s="63" t="n"/>
      <c r="S120" s="63" t="n"/>
      <c r="T120" s="63" t="n"/>
      <c r="U120" s="64" t="n"/>
      <c r="V120" s="85" t="inlineStr">
        <is>
          <t>https://www.uster.com/</t>
        </is>
      </c>
      <c r="W120" s="81" t="inlineStr">
        <is>
          <t>Uster Technologies</t>
        </is>
      </c>
      <c r="X120" s="86" t="inlineStr">
        <is>
          <t>Stellen suchen</t>
        </is>
      </c>
    </row>
    <row r="121" ht="15" customHeight="1" s="57">
      <c r="A121" s="81" t="n">
        <v>120</v>
      </c>
      <c r="B121" s="82" t="inlineStr">
        <is>
          <t>3</t>
        </is>
      </c>
      <c r="C121" s="81" t="inlineStr">
        <is>
          <t>Feller</t>
        </is>
      </c>
      <c r="D121" s="81" t="inlineStr">
        <is>
          <t>Horgen</t>
        </is>
      </c>
      <c r="E121" s="81" t="inlineStr">
        <is>
          <t>ZH</t>
        </is>
      </c>
      <c r="F121" s="83" t="inlineStr">
        <is>
          <t>Elektroinstallation</t>
        </is>
      </c>
      <c r="G121" s="83" t="inlineStr">
        <is>
          <t>Schalter, Steckdosen, Gebäudesteuerungskomponenten</t>
        </is>
      </c>
      <c r="H121" s="84" t="n">
        <v>175</v>
      </c>
      <c r="I121" s="81" t="inlineStr">
        <is>
          <t>CHF</t>
        </is>
      </c>
      <c r="J121" s="84">
        <f>IF(H121="","",H121*IF(I121="CHF",1,IF(I121="EUR",'Legende &amp; Kriterien'!$C$13,'Legende &amp; Kriterien'!$C$14)))</f>
        <v/>
      </c>
      <c r="K121" s="81">
        <f>IF(P121="Rohstoffhandel","— Handel —",IF(J121="","k.A.",IF(J121&gt;=5000,"A: &gt;5 Mrd.",IF(J121&gt;=3000,"B: 3-5 Mrd.",IF(J121&gt;=1000,"C: 1-3 Mrd.","D: 0.1-1 Mrd.")))))</f>
        <v/>
      </c>
      <c r="L121" s="81" t="inlineStr">
        <is>
          <t>k.A.</t>
        </is>
      </c>
      <c r="M121" s="84" t="n">
        <v>420</v>
      </c>
      <c r="N121" s="83" t="inlineStr">
        <is>
          <t>Schneider Electric (FR)</t>
        </is>
      </c>
      <c r="O121" s="81" t="inlineStr">
        <is>
          <t>geschätzt</t>
        </is>
      </c>
      <c r="P121" s="81" t="inlineStr">
        <is>
          <t>im Band</t>
        </is>
      </c>
      <c r="Q121" s="83" t="inlineStr">
        <is>
          <t>CH-Standort eines FR-Konzerns</t>
        </is>
      </c>
      <c r="R121" s="63" t="n"/>
      <c r="S121" s="63" t="n"/>
      <c r="T121" s="63" t="n"/>
      <c r="U121" s="64" t="n"/>
      <c r="V121" s="85" t="inlineStr">
        <is>
          <t>https://de.wikipedia.org/wiki/Feller_AG</t>
        </is>
      </c>
      <c r="W121" s="81" t="inlineStr">
        <is>
          <t>Feller</t>
        </is>
      </c>
      <c r="X121" s="86" t="inlineStr">
        <is>
          <t>Stellen suchen</t>
        </is>
      </c>
    </row>
    <row r="122" ht="15" customHeight="1" s="57">
      <c r="A122" s="81" t="n">
        <v>121</v>
      </c>
      <c r="B122" s="82" t="inlineStr">
        <is>
          <t>3</t>
        </is>
      </c>
      <c r="C122" s="81" t="inlineStr">
        <is>
          <t>Cendres+Métaux</t>
        </is>
      </c>
      <c r="D122" s="81" t="inlineStr">
        <is>
          <t>Biel/Bienne</t>
        </is>
      </c>
      <c r="E122" s="81" t="inlineStr">
        <is>
          <t>BE</t>
        </is>
      </c>
      <c r="F122" s="83" t="inlineStr">
        <is>
          <t>Präzisionsfertigung/Medtech</t>
        </is>
      </c>
      <c r="G122" s="83" t="inlineStr">
        <is>
          <t>Hochpräzisionskomponenten für Uhren, Medtech, Industrie</t>
        </is>
      </c>
      <c r="H122" s="84" t="n">
        <v>175</v>
      </c>
      <c r="I122" s="81" t="inlineStr">
        <is>
          <t>CHF</t>
        </is>
      </c>
      <c r="J122" s="84">
        <f>IF(H122="","",H122*IF(I122="CHF",1,IF(I122="EUR",'Legende &amp; Kriterien'!$C$13,'Legende &amp; Kriterien'!$C$14)))</f>
        <v/>
      </c>
      <c r="K122" s="81">
        <f>IF(P122="Rohstoffhandel","— Handel —",IF(J122="","k.A.",IF(J122&gt;=5000,"A: &gt;5 Mrd.",IF(J122&gt;=3000,"B: 3-5 Mrd.",IF(J122&gt;=1000,"C: 1-3 Mrd.","D: 0.1-1 Mrd.")))))</f>
        <v/>
      </c>
      <c r="L122" s="81" t="inlineStr">
        <is>
          <t>k.A.</t>
        </is>
      </c>
      <c r="M122" s="84" t="n">
        <v>600</v>
      </c>
      <c r="N122" s="83" t="inlineStr">
        <is>
          <t>Stiftungsnah / OTC-X</t>
        </is>
      </c>
      <c r="O122" s="81" t="inlineStr">
        <is>
          <t>geschätzt</t>
        </is>
      </c>
      <c r="P122" s="81" t="inlineStr">
        <is>
          <t>im Band</t>
        </is>
      </c>
      <c r="Q122" s="83" t="n"/>
      <c r="R122" s="63" t="n"/>
      <c r="S122" s="63" t="n"/>
      <c r="T122" s="63" t="n"/>
      <c r="U122" s="64" t="n"/>
      <c r="V122" s="85" t="inlineStr">
        <is>
          <t>https://www.cmsa.ch/de/group</t>
        </is>
      </c>
      <c r="W122" s="81" t="inlineStr">
        <is>
          <t>Cendres Metaux</t>
        </is>
      </c>
      <c r="X122" s="86" t="inlineStr">
        <is>
          <t>Stellen suchen</t>
        </is>
      </c>
    </row>
    <row r="123" ht="15" customHeight="1" s="57">
      <c r="A123" s="69" t="n">
        <v>122</v>
      </c>
      <c r="B123" s="70" t="inlineStr">
        <is>
          <t>3</t>
        </is>
      </c>
      <c r="C123" s="69" t="inlineStr">
        <is>
          <t>Schaffner (TE-Marke)</t>
        </is>
      </c>
      <c r="D123" s="69" t="inlineStr">
        <is>
          <t>Luterbach</t>
        </is>
      </c>
      <c r="E123" s="69" t="inlineStr">
        <is>
          <t>SO</t>
        </is>
      </c>
      <c r="F123" s="71" t="inlineStr">
        <is>
          <t>Elektronikkomponenten</t>
        </is>
      </c>
      <c r="G123" s="71" t="inlineStr">
        <is>
          <t>EMV-Filter, Netzfilter, induktive Komponenten, Power Quality</t>
        </is>
      </c>
      <c r="H123" s="72" t="n">
        <v>158.2</v>
      </c>
      <c r="I123" s="69" t="inlineStr">
        <is>
          <t>CHF</t>
        </is>
      </c>
      <c r="J123" s="72">
        <f>IF(H123="","",H123*IF(I123="CHF",1,IF(I123="EUR",'Legende &amp; Kriterien'!$C$13,'Legende &amp; Kriterien'!$C$14)))</f>
        <v/>
      </c>
      <c r="K123" s="69">
        <f>IF(P123="Rohstoffhandel","— Handel —",IF(J123="","k.A.",IF(J123&gt;=5000,"A: &gt;5 Mrd.",IF(J123&gt;=3000,"B: 3-5 Mrd.",IF(J123&gt;=1000,"C: 1-3 Mrd.","D: 0.1-1 Mrd.")))))</f>
        <v/>
      </c>
      <c r="L123" s="69" t="inlineStr">
        <is>
          <t>2021/22</t>
        </is>
      </c>
      <c r="M123" s="72" t="n">
        <v>1826</v>
      </c>
      <c r="N123" s="71" t="inlineStr">
        <is>
          <t>TE Connectivity (US)</t>
        </is>
      </c>
      <c r="O123" s="69" t="inlineStr">
        <is>
          <t>veraltet</t>
        </is>
      </c>
      <c r="P123" s="69" t="inlineStr">
        <is>
          <t>Standort</t>
        </is>
      </c>
      <c r="Q123" s="71" t="inlineStr">
        <is>
          <t>Rechtsträger 2025 gelöscht, läuft als TE-Marke weiter</t>
        </is>
      </c>
      <c r="R123" s="63" t="n"/>
      <c r="S123" s="63" t="n"/>
      <c r="T123" s="63" t="n"/>
      <c r="U123" s="64" t="n"/>
      <c r="V123" s="73" t="inlineStr">
        <is>
          <t>https://www.moneyhouse.ch/en/company/schaffner-holding-ag-20930778921</t>
        </is>
      </c>
      <c r="W123" s="69" t="inlineStr">
        <is>
          <t>Schaffner</t>
        </is>
      </c>
      <c r="X123" s="74" t="inlineStr">
        <is>
          <t>Stellen suchen</t>
        </is>
      </c>
    </row>
    <row r="124" ht="15" customHeight="1" s="57">
      <c r="A124" s="69" t="n">
        <v>123</v>
      </c>
      <c r="B124" s="70" t="inlineStr">
        <is>
          <t>3</t>
        </is>
      </c>
      <c r="C124" s="69" t="inlineStr">
        <is>
          <t>Blaser Swisslube</t>
        </is>
      </c>
      <c r="D124" s="69" t="inlineStr">
        <is>
          <t>Hasle-Rüegsau</t>
        </is>
      </c>
      <c r="E124" s="69" t="inlineStr">
        <is>
          <t>BE</t>
        </is>
      </c>
      <c r="F124" s="71" t="inlineStr">
        <is>
          <t>Prozessmedien</t>
        </is>
      </c>
      <c r="G124" s="71" t="inlineStr">
        <is>
          <t>Kühlschmierstoffe und Bearbeitungsöle für die Zerspanung</t>
        </is>
      </c>
      <c r="H124" s="72" t="n">
        <v>150</v>
      </c>
      <c r="I124" s="69" t="inlineStr">
        <is>
          <t>CHF</t>
        </is>
      </c>
      <c r="J124" s="72">
        <f>IF(H124="","",H124*IF(I124="CHF",1,IF(I124="EUR",'Legende &amp; Kriterien'!$C$13,'Legende &amp; Kriterien'!$C$14)))</f>
        <v/>
      </c>
      <c r="K124" s="69">
        <f>IF(P124="Rohstoffhandel","— Handel —",IF(J124="","k.A.",IF(J124&gt;=5000,"A: &gt;5 Mrd.",IF(J124&gt;=3000,"B: 3-5 Mrd.",IF(J124&gt;=1000,"C: 1-3 Mrd.","D: 0.1-1 Mrd.")))))</f>
        <v/>
      </c>
      <c r="L124" s="69" t="inlineStr">
        <is>
          <t>k.A.</t>
        </is>
      </c>
      <c r="M124" s="72" t="n">
        <v>600</v>
      </c>
      <c r="N124" s="71" t="inlineStr">
        <is>
          <t>Familie Blaser (100%)</t>
        </is>
      </c>
      <c r="O124" s="69" t="inlineStr">
        <is>
          <t>geschätzt</t>
        </is>
      </c>
      <c r="P124" s="69" t="inlineStr">
        <is>
          <t>Grenzfall</t>
        </is>
      </c>
      <c r="Q124" s="71" t="inlineStr">
        <is>
          <t>Prozessmedien statt Maschine</t>
        </is>
      </c>
      <c r="R124" s="63" t="n"/>
      <c r="S124" s="63" t="n"/>
      <c r="T124" s="63" t="n"/>
      <c r="U124" s="64" t="n"/>
      <c r="V124" s="73" t="inlineStr">
        <is>
          <t>https://de.wikipedia.org/wiki/Blaser_Swisslube</t>
        </is>
      </c>
      <c r="W124" s="69" t="inlineStr">
        <is>
          <t>Blaser Swisslube</t>
        </is>
      </c>
      <c r="X124" s="74" t="inlineStr">
        <is>
          <t>Stellen suchen</t>
        </is>
      </c>
    </row>
    <row r="125" ht="15" customHeight="1" s="57">
      <c r="A125" s="81" t="n">
        <v>124</v>
      </c>
      <c r="B125" s="82" t="inlineStr">
        <is>
          <t>3</t>
        </is>
      </c>
      <c r="C125" s="81" t="inlineStr">
        <is>
          <t>Ernst Schweizer</t>
        </is>
      </c>
      <c r="D125" s="81" t="inlineStr">
        <is>
          <t>Hedingen</t>
        </is>
      </c>
      <c r="E125" s="81" t="inlineStr">
        <is>
          <t>ZH</t>
        </is>
      </c>
      <c r="F125" s="83" t="inlineStr">
        <is>
          <t>Gebäudetechnik/Metallbau</t>
        </is>
      </c>
      <c r="G125" s="83" t="inlineStr">
        <is>
          <t>Metallfassaden, Fenster, Briefkästen, PV-Montagesysteme</t>
        </is>
      </c>
      <c r="H125" s="84" t="n">
        <v>135</v>
      </c>
      <c r="I125" s="81" t="inlineStr">
        <is>
          <t>CHF</t>
        </is>
      </c>
      <c r="J125" s="84">
        <f>IF(H125="","",H125*IF(I125="CHF",1,IF(I125="EUR",'Legende &amp; Kriterien'!$C$13,'Legende &amp; Kriterien'!$C$14)))</f>
        <v/>
      </c>
      <c r="K125" s="81">
        <f>IF(P125="Rohstoffhandel","— Handel —",IF(J125="","k.A.",IF(J125&gt;=5000,"A: &gt;5 Mrd.",IF(J125&gt;=3000,"B: 3-5 Mrd.",IF(J125&gt;=1000,"C: 1-3 Mrd.","D: 0.1-1 Mrd.")))))</f>
        <v/>
      </c>
      <c r="L125" s="81" t="inlineStr">
        <is>
          <t>k.A.</t>
        </is>
      </c>
      <c r="M125" s="84" t="n">
        <v>400</v>
      </c>
      <c r="N125" s="83" t="inlineStr">
        <is>
          <t>Familie Schweizer</t>
        </is>
      </c>
      <c r="O125" s="81" t="inlineStr">
        <is>
          <t>geschätzt</t>
        </is>
      </c>
      <c r="P125" s="81" t="inlineStr">
        <is>
          <t>im Band</t>
        </is>
      </c>
      <c r="Q125" s="83" t="n"/>
      <c r="R125" s="63" t="n"/>
      <c r="S125" s="63" t="n"/>
      <c r="T125" s="63" t="n"/>
      <c r="U125" s="64" t="n"/>
      <c r="V125" s="85" t="inlineStr">
        <is>
          <t>https://de.wikipedia.org/wiki/Ernst_Schweizer_AG</t>
        </is>
      </c>
      <c r="W125" s="81" t="inlineStr">
        <is>
          <t>Ernst Schweizer</t>
        </is>
      </c>
      <c r="X125" s="86" t="inlineStr">
        <is>
          <t>Stellen suchen</t>
        </is>
      </c>
    </row>
    <row r="126" ht="15" customHeight="1" s="57">
      <c r="A126" s="81" t="n">
        <v>125</v>
      </c>
      <c r="B126" s="82" t="inlineStr">
        <is>
          <t>3</t>
        </is>
      </c>
      <c r="C126" s="81" t="inlineStr">
        <is>
          <t>Stöcklin Logistik</t>
        </is>
      </c>
      <c r="D126" s="81" t="inlineStr">
        <is>
          <t>Laufen</t>
        </is>
      </c>
      <c r="E126" s="81" t="inlineStr">
        <is>
          <t>BL</t>
        </is>
      </c>
      <c r="F126" s="83" t="inlineStr">
        <is>
          <t>Intralogistik</t>
        </is>
      </c>
      <c r="G126" s="83" t="inlineStr">
        <is>
          <t>Regalbediengeräte, Fördertechnik, Flurförderzeuge, LVS</t>
        </is>
      </c>
      <c r="H126" s="84" t="n">
        <v>125</v>
      </c>
      <c r="I126" s="81" t="inlineStr">
        <is>
          <t>CHF</t>
        </is>
      </c>
      <c r="J126" s="84">
        <f>IF(H126="","",H126*IF(I126="CHF",1,IF(I126="EUR",'Legende &amp; Kriterien'!$C$13,'Legende &amp; Kriterien'!$C$14)))</f>
        <v/>
      </c>
      <c r="K126" s="81">
        <f>IF(P126="Rohstoffhandel","— Handel —",IF(J126="","k.A.",IF(J126&gt;=5000,"A: &gt;5 Mrd.",IF(J126&gt;=3000,"B: 3-5 Mrd.",IF(J126&gt;=1000,"C: 1-3 Mrd.","D: 0.1-1 Mrd.")))))</f>
        <v/>
      </c>
      <c r="L126" s="81" t="inlineStr">
        <is>
          <t>k.A.</t>
        </is>
      </c>
      <c r="M126" s="84" t="n">
        <v>320</v>
      </c>
      <c r="N126" s="83" t="inlineStr">
        <is>
          <t>Familie Stöcklin</t>
        </is>
      </c>
      <c r="O126" s="81" t="inlineStr">
        <is>
          <t>geschätzt</t>
        </is>
      </c>
      <c r="P126" s="81" t="inlineStr">
        <is>
          <t>im Band</t>
        </is>
      </c>
      <c r="Q126" s="83" t="n"/>
      <c r="R126" s="63" t="n"/>
      <c r="S126" s="63" t="n"/>
      <c r="T126" s="63" t="n"/>
      <c r="U126" s="64" t="n"/>
      <c r="V126" s="85" t="inlineStr">
        <is>
          <t>https://de.wikipedia.org/wiki/St%C3%B6cklin_Logistik</t>
        </is>
      </c>
      <c r="W126" s="81" t="inlineStr">
        <is>
          <t>Stöcklin</t>
        </is>
      </c>
      <c r="X126" s="86" t="inlineStr">
        <is>
          <t>Stellen suchen</t>
        </is>
      </c>
    </row>
    <row r="127" ht="15" customHeight="1" s="57">
      <c r="A127" s="81" t="n">
        <v>126</v>
      </c>
      <c r="B127" s="82" t="inlineStr">
        <is>
          <t>3</t>
        </is>
      </c>
      <c r="C127" s="81" t="inlineStr">
        <is>
          <t>Willemin-Macodel</t>
        </is>
      </c>
      <c r="D127" s="81" t="inlineStr">
        <is>
          <t>Delémont</t>
        </is>
      </c>
      <c r="E127" s="81" t="inlineStr">
        <is>
          <t>JU</t>
        </is>
      </c>
      <c r="F127" s="83" t="inlineStr">
        <is>
          <t>Werkzeugmaschinen</t>
        </is>
      </c>
      <c r="G127" s="83" t="inlineStr">
        <is>
          <t>5-Achs-Bearbeitungszentren und Roboterzellen</t>
        </is>
      </c>
      <c r="H127" s="84" t="n">
        <v>115</v>
      </c>
      <c r="I127" s="81" t="inlineStr">
        <is>
          <t>CHF</t>
        </is>
      </c>
      <c r="J127" s="84">
        <f>IF(H127="","",H127*IF(I127="CHF",1,IF(I127="EUR",'Legende &amp; Kriterien'!$C$13,'Legende &amp; Kriterien'!$C$14)))</f>
        <v/>
      </c>
      <c r="K127" s="81">
        <f>IF(P127="Rohstoffhandel","— Handel —",IF(J127="","k.A.",IF(J127&gt;=5000,"A: &gt;5 Mrd.",IF(J127&gt;=3000,"B: 3-5 Mrd.",IF(J127&gt;=1000,"C: 1-3 Mrd.","D: 0.1-1 Mrd.")))))</f>
        <v/>
      </c>
      <c r="L127" s="81" t="inlineStr">
        <is>
          <t>k.A.</t>
        </is>
      </c>
      <c r="M127" s="84" t="n">
        <v>335</v>
      </c>
      <c r="N127" s="83" t="inlineStr">
        <is>
          <t>Familienunternehmen</t>
        </is>
      </c>
      <c r="O127" s="81" t="inlineStr">
        <is>
          <t>geschätzt</t>
        </is>
      </c>
      <c r="P127" s="81" t="inlineStr">
        <is>
          <t>im Band</t>
        </is>
      </c>
      <c r="Q127" s="83" t="n"/>
      <c r="R127" s="63" t="n"/>
      <c r="S127" s="63" t="n"/>
      <c r="T127" s="63" t="n"/>
      <c r="U127" s="64" t="n"/>
      <c r="V127" s="85" t="inlineStr">
        <is>
          <t>https://svc.swiss/fr/willemin-macodel-sa</t>
        </is>
      </c>
      <c r="W127" s="81" t="inlineStr">
        <is>
          <t>Willemin</t>
        </is>
      </c>
      <c r="X127" s="86" t="inlineStr">
        <is>
          <t>Stellen suchen</t>
        </is>
      </c>
    </row>
    <row r="128" ht="15" customHeight="1" s="57">
      <c r="A128" s="81" t="n">
        <v>127</v>
      </c>
      <c r="B128" s="82" t="inlineStr">
        <is>
          <t>3</t>
        </is>
      </c>
      <c r="C128" s="81" t="inlineStr">
        <is>
          <t>Fraisa</t>
        </is>
      </c>
      <c r="D128" s="81" t="inlineStr">
        <is>
          <t>Bellach</t>
        </is>
      </c>
      <c r="E128" s="81" t="inlineStr">
        <is>
          <t>SO</t>
        </is>
      </c>
      <c r="F128" s="83" t="inlineStr">
        <is>
          <t>Präzisionswerkzeuge</t>
        </is>
      </c>
      <c r="G128" s="83" t="inlineStr">
        <is>
          <t>Vollhartmetall-Fräser, Bohrer, Gewindewerkzeuge, Reconditioning</t>
        </is>
      </c>
      <c r="H128" s="84" t="n">
        <v>106.1</v>
      </c>
      <c r="I128" s="81" t="inlineStr">
        <is>
          <t>CHF</t>
        </is>
      </c>
      <c r="J128" s="84">
        <f>IF(H128="","",H128*IF(I128="CHF",1,IF(I128="EUR",'Legende &amp; Kriterien'!$C$13,'Legende &amp; Kriterien'!$C$14)))</f>
        <v/>
      </c>
      <c r="K128" s="81">
        <f>IF(P128="Rohstoffhandel","— Handel —",IF(J128="","k.A.",IF(J128&gt;=5000,"A: &gt;5 Mrd.",IF(J128&gt;=3000,"B: 3-5 Mrd.",IF(J128&gt;=1000,"C: 1-3 Mrd.","D: 0.1-1 Mrd.")))))</f>
        <v/>
      </c>
      <c r="L128" s="81" t="inlineStr">
        <is>
          <t>2025/26</t>
        </is>
      </c>
      <c r="M128" s="84" t="n">
        <v>515</v>
      </c>
      <c r="N128" s="83" t="inlineStr">
        <is>
          <t>Familie Maushart</t>
        </is>
      </c>
      <c r="O128" s="81" t="inlineStr">
        <is>
          <t>publiziert</t>
        </is>
      </c>
      <c r="P128" s="81" t="inlineStr">
        <is>
          <t>im Band</t>
        </is>
      </c>
      <c r="Q128" s="83" t="n"/>
      <c r="R128" s="63" t="n"/>
      <c r="S128" s="63" t="n"/>
      <c r="T128" s="63" t="n"/>
      <c r="U128" s="64" t="n"/>
      <c r="V128" s="85" t="inlineStr">
        <is>
          <t>https://www.fraisa.com/assets/media/blaetterprospekt/geschaeftsbericht-2026/en/</t>
        </is>
      </c>
      <c r="W128" s="81" t="inlineStr">
        <is>
          <t>Fraisa</t>
        </is>
      </c>
      <c r="X128" s="86" t="inlineStr">
        <is>
          <t>Stellen suchen</t>
        </is>
      </c>
    </row>
    <row r="129" ht="15" customHeight="1" s="57">
      <c r="A129" s="81" t="n">
        <v>128</v>
      </c>
      <c r="B129" s="82" t="inlineStr">
        <is>
          <t>2</t>
        </is>
      </c>
      <c r="C129" s="81" t="inlineStr">
        <is>
          <t>Bruderer</t>
        </is>
      </c>
      <c r="D129" s="81" t="inlineStr">
        <is>
          <t>Frasnacht (Arbon)</t>
        </is>
      </c>
      <c r="E129" s="81" t="inlineStr">
        <is>
          <t>TG</t>
        </is>
      </c>
      <c r="F129" s="83" t="inlineStr">
        <is>
          <t>Umformtechnik</t>
        </is>
      </c>
      <c r="G129" s="83" t="inlineStr">
        <is>
          <t>Hochleistungs-Stanzautomaten und Peripherie</t>
        </is>
      </c>
      <c r="H129" s="84" t="n">
        <v>100</v>
      </c>
      <c r="I129" s="81" t="inlineStr">
        <is>
          <t>CHF</t>
        </is>
      </c>
      <c r="J129" s="84">
        <f>IF(H129="","",H129*IF(I129="CHF",1,IF(I129="EUR",'Legende &amp; Kriterien'!$C$13,'Legende &amp; Kriterien'!$C$14)))</f>
        <v/>
      </c>
      <c r="K129" s="81">
        <f>IF(P129="Rohstoffhandel","— Handel —",IF(J129="","k.A.",IF(J129&gt;=5000,"A: &gt;5 Mrd.",IF(J129&gt;=3000,"B: 3-5 Mrd.",IF(J129&gt;=1000,"C: 1-3 Mrd.","D: 0.1-1 Mrd.")))))</f>
        <v/>
      </c>
      <c r="L129" s="81" t="inlineStr">
        <is>
          <t>k.A.</t>
        </is>
      </c>
      <c r="M129" s="84" t="n">
        <v>550</v>
      </c>
      <c r="N129" s="83" t="inlineStr">
        <is>
          <t>Familie Bruderer</t>
        </is>
      </c>
      <c r="O129" s="81" t="inlineStr">
        <is>
          <t>geschätzt</t>
        </is>
      </c>
      <c r="P129" s="81" t="inlineStr">
        <is>
          <t>im Band</t>
        </is>
      </c>
      <c r="Q129" s="83" t="n"/>
      <c r="R129" s="63" t="n"/>
      <c r="S129" s="63" t="n"/>
      <c r="T129" s="63" t="n"/>
      <c r="U129" s="64" t="n"/>
      <c r="V129" s="85" t="inlineStr">
        <is>
          <t>https://www.bruderer.com/en/company/about-us</t>
        </is>
      </c>
      <c r="W129" s="81" t="inlineStr">
        <is>
          <t>Bruderer</t>
        </is>
      </c>
      <c r="X129" s="86" t="inlineStr">
        <is>
          <t>Stellen suchen</t>
        </is>
      </c>
    </row>
    <row r="130" ht="15" customHeight="1" s="57">
      <c r="A130" s="81" t="n">
        <v>129</v>
      </c>
      <c r="B130" s="82" t="inlineStr">
        <is>
          <t>2</t>
        </is>
      </c>
      <c r="C130" s="81" t="inlineStr">
        <is>
          <t>Hunkeler</t>
        </is>
      </c>
      <c r="D130" s="81" t="inlineStr">
        <is>
          <t>Wikon</t>
        </is>
      </c>
      <c r="E130" s="81" t="inlineStr">
        <is>
          <t>LU</t>
        </is>
      </c>
      <c r="F130" s="83" t="inlineStr">
        <is>
          <t>Verarbeitungsmaschinen</t>
        </is>
      </c>
      <c r="G130" s="83" t="inlineStr">
        <is>
          <t>Papierverarbeitungsmaschinen für den Digitaldruck</t>
        </is>
      </c>
      <c r="H130" s="84" t="n">
        <v>100</v>
      </c>
      <c r="I130" s="81" t="inlineStr">
        <is>
          <t>CHF</t>
        </is>
      </c>
      <c r="J130" s="84">
        <f>IF(H130="","",H130*IF(I130="CHF",1,IF(I130="EUR",'Legende &amp; Kriterien'!$C$13,'Legende &amp; Kriterien'!$C$14)))</f>
        <v/>
      </c>
      <c r="K130" s="81">
        <f>IF(P130="Rohstoffhandel","— Handel —",IF(J130="","k.A.",IF(J130&gt;=5000,"A: &gt;5 Mrd.",IF(J130&gt;=3000,"B: 3-5 Mrd.",IF(J130&gt;=1000,"C: 1-3 Mrd.","D: 0.1-1 Mrd.")))))</f>
        <v/>
      </c>
      <c r="L130" s="81" t="inlineStr">
        <is>
          <t>k.A.</t>
        </is>
      </c>
      <c r="M130" s="84" t="n">
        <v>280</v>
      </c>
      <c r="N130" s="83" t="inlineStr">
        <is>
          <t>Familie Hunkeler</t>
        </is>
      </c>
      <c r="O130" s="81" t="inlineStr">
        <is>
          <t>geschätzt</t>
        </is>
      </c>
      <c r="P130" s="81" t="inlineStr">
        <is>
          <t>im Band</t>
        </is>
      </c>
      <c r="Q130" s="83" t="n"/>
      <c r="R130" s="63" t="n"/>
      <c r="S130" s="63" t="n"/>
      <c r="T130" s="63" t="n"/>
      <c r="U130" s="64" t="n"/>
      <c r="V130" s="85" t="inlineStr">
        <is>
          <t>https://svc.swiss/de/hunkeler-ag-paper-processing</t>
        </is>
      </c>
      <c r="W130" s="81" t="inlineStr">
        <is>
          <t>Hunkeler</t>
        </is>
      </c>
      <c r="X130" s="86" t="inlineStr">
        <is>
          <t>Stellen suchen</t>
        </is>
      </c>
    </row>
    <row r="131" ht="15" customHeight="1" s="57">
      <c r="A131" s="81" t="n">
        <v>130</v>
      </c>
      <c r="B131" s="82" t="inlineStr">
        <is>
          <t>3</t>
        </is>
      </c>
      <c r="C131" s="81" t="inlineStr">
        <is>
          <t>MPS Micro Precision Systems</t>
        </is>
      </c>
      <c r="D131" s="81" t="inlineStr">
        <is>
          <t>Biel/Bienne</t>
        </is>
      </c>
      <c r="E131" s="81" t="inlineStr">
        <is>
          <t>BE</t>
        </is>
      </c>
      <c r="F131" s="83" t="inlineStr">
        <is>
          <t>Mikrotechnik</t>
        </is>
      </c>
      <c r="G131" s="83" t="inlineStr">
        <is>
          <t>Miniaturkugellager, Mikromechanik für Medtech, Uhren, Optik</t>
        </is>
      </c>
      <c r="H131" s="84" t="n">
        <v>100</v>
      </c>
      <c r="I131" s="81" t="inlineStr">
        <is>
          <t>CHF</t>
        </is>
      </c>
      <c r="J131" s="84">
        <f>IF(H131="","",H131*IF(I131="CHF",1,IF(I131="EUR",'Legende &amp; Kriterien'!$C$13,'Legende &amp; Kriterien'!$C$14)))</f>
        <v/>
      </c>
      <c r="K131" s="81">
        <f>IF(P131="Rohstoffhandel","— Handel —",IF(J131="","k.A.",IF(J131&gt;=5000,"A: &gt;5 Mrd.",IF(J131&gt;=3000,"B: 3-5 Mrd.",IF(J131&gt;=1000,"C: 1-3 Mrd.","D: 0.1-1 Mrd.")))))</f>
        <v/>
      </c>
      <c r="L131" s="81" t="inlineStr">
        <is>
          <t>k.A.</t>
        </is>
      </c>
      <c r="M131" s="84" t="n">
        <v>500</v>
      </c>
      <c r="N131" s="83" t="inlineStr">
        <is>
          <t>FAULHABER Group (DE)</t>
        </is>
      </c>
      <c r="O131" s="81" t="inlineStr">
        <is>
          <t>geschätzt</t>
        </is>
      </c>
      <c r="P131" s="81" t="inlineStr">
        <is>
          <t>im Band</t>
        </is>
      </c>
      <c r="Q131" s="83" t="n"/>
      <c r="R131" s="63" t="n"/>
      <c r="S131" s="63" t="n"/>
      <c r="T131" s="63" t="n"/>
      <c r="U131" s="64" t="n"/>
      <c r="V131" s="85" t="inlineStr">
        <is>
          <t>https://www.mpsag.com/en/about-us</t>
        </is>
      </c>
      <c r="W131" s="81" t="inlineStr">
        <is>
          <t>MPS Micro Precision</t>
        </is>
      </c>
      <c r="X131" s="86" t="inlineStr">
        <is>
          <t>Stellen suchen</t>
        </is>
      </c>
    </row>
    <row r="132" ht="23.25" customHeight="1" s="57">
      <c r="A132" s="69" t="n">
        <v>131</v>
      </c>
      <c r="B132" s="70" t="inlineStr">
        <is>
          <t>3</t>
        </is>
      </c>
      <c r="C132" s="69" t="inlineStr">
        <is>
          <t>Trafag</t>
        </is>
      </c>
      <c r="D132" s="69" t="inlineStr">
        <is>
          <t>Bubikon</t>
        </is>
      </c>
      <c r="E132" s="69" t="inlineStr">
        <is>
          <t>ZH</t>
        </is>
      </c>
      <c r="F132" s="71" t="inlineStr">
        <is>
          <t>Sensorik/Messtechnik</t>
        </is>
      </c>
      <c r="G132" s="71" t="inlineStr">
        <is>
          <t>Druck-, Temperatur- und Gasdichte-Sensoren, Schalter, Überwachungsgeräte</t>
        </is>
      </c>
      <c r="H132" s="72" t="n">
        <v>90</v>
      </c>
      <c r="I132" s="69" t="inlineStr">
        <is>
          <t>CHF</t>
        </is>
      </c>
      <c r="J132" s="72">
        <f>IF(H132="","",H132*IF(I132="CHF",1,IF(I132="EUR",'Legende &amp; Kriterien'!$C$13,'Legende &amp; Kriterien'!$C$14)))</f>
        <v/>
      </c>
      <c r="K132" s="69">
        <f>IF(P132="Rohstoffhandel","— Handel —",IF(J132="","k.A.",IF(J132&gt;=5000,"A: &gt;5 Mrd.",IF(J132&gt;=3000,"B: 3-5 Mrd.",IF(J132&gt;=1000,"C: 1-3 Mrd.","D: 0.1-1 Mrd.")))))</f>
        <v/>
      </c>
      <c r="L132" s="69" t="inlineStr">
        <is>
          <t>k.A.</t>
        </is>
      </c>
      <c r="M132" s="72" t="n">
        <v>350</v>
      </c>
      <c r="N132" s="71" t="inlineStr">
        <is>
          <t>Unabhängig, Familie Pfrunder</t>
        </is>
      </c>
      <c r="O132" s="69" t="inlineStr">
        <is>
          <t>geschätzt</t>
        </is>
      </c>
      <c r="P132" s="69" t="inlineStr">
        <is>
          <t>Grenzfall</t>
        </is>
      </c>
      <c r="Q132" s="71" t="inlineStr">
        <is>
          <t>Keine publizierte Zahl; Drittschätzungen CHF 60–95 Mio., evtl. unter Band</t>
        </is>
      </c>
      <c r="R132" s="63" t="n"/>
      <c r="S132" s="63" t="n"/>
      <c r="T132" s="63" t="n"/>
      <c r="U132" s="64" t="n"/>
      <c r="V132" s="73" t="inlineStr">
        <is>
          <t>https://www.trafag.com/us-en/about-us/</t>
        </is>
      </c>
      <c r="W132" s="69" t="inlineStr">
        <is>
          <t>Trafag</t>
        </is>
      </c>
      <c r="X132" s="74" t="inlineStr">
        <is>
          <t>Stellen suchen</t>
        </is>
      </c>
    </row>
    <row r="133" ht="15" customHeight="1" s="57">
      <c r="A133" s="69" t="n">
        <v>132</v>
      </c>
      <c r="B133" s="70" t="inlineStr">
        <is>
          <t>3</t>
        </is>
      </c>
      <c r="C133" s="69" t="inlineStr">
        <is>
          <t>Liebherr Machines Bulle</t>
        </is>
      </c>
      <c r="D133" s="69" t="inlineStr">
        <is>
          <t>Bulle</t>
        </is>
      </c>
      <c r="E133" s="69" t="inlineStr">
        <is>
          <t>FR</t>
        </is>
      </c>
      <c r="F133" s="71" t="inlineStr">
        <is>
          <t>Antriebstechnik</t>
        </is>
      </c>
      <c r="G133" s="71" t="inlineStr">
        <is>
          <t>Dieselmotoren, Gasmotoren, Axialkolbenpumpen</t>
        </is>
      </c>
      <c r="H133" s="72" t="n"/>
      <c r="I133" s="69" t="inlineStr">
        <is>
          <t>CHF</t>
        </is>
      </c>
      <c r="J133" s="72">
        <f>IF(H133="","",H133*IF(I133="CHF",1,IF(I133="EUR",'Legende &amp; Kriterien'!$C$13,'Legende &amp; Kriterien'!$C$14)))</f>
        <v/>
      </c>
      <c r="K133" s="69">
        <f>IF(P133="Rohstoffhandel","— Handel —",IF(J133="","k.A.",IF(J133&gt;=5000,"A: &gt;5 Mrd.",IF(J133&gt;=3000,"B: 3-5 Mrd.",IF(J133&gt;=1000,"C: 1-3 Mrd.","D: 0.1-1 Mrd.")))))</f>
        <v/>
      </c>
      <c r="L133" s="69" t="inlineStr">
        <is>
          <t>k.A.</t>
        </is>
      </c>
      <c r="M133" s="72" t="n">
        <v>1400</v>
      </c>
      <c r="N133" s="71" t="inlineStr">
        <is>
          <t>Familie Liebherr</t>
        </is>
      </c>
      <c r="O133" s="69" t="inlineStr">
        <is>
          <t>geschätzt</t>
        </is>
      </c>
      <c r="P133" s="69" t="inlineStr">
        <is>
          <t>Standort</t>
        </is>
      </c>
      <c r="Q133" s="71" t="inlineStr">
        <is>
          <t>Keine separate Zahl publiziert</t>
        </is>
      </c>
      <c r="R133" s="63" t="n"/>
      <c r="S133" s="63" t="n"/>
      <c r="T133" s="63" t="n"/>
      <c r="U133" s="64" t="n"/>
      <c r="V133" s="73" t="inlineStr">
        <is>
          <t>https://www.liebherr.com/de-ch/firmengruppe/standort/bulle-profil-3902923</t>
        </is>
      </c>
      <c r="W133" s="69" t="inlineStr">
        <is>
          <t>Liebherr</t>
        </is>
      </c>
      <c r="X133" s="74" t="inlineStr">
        <is>
          <t>Stellen suchen</t>
        </is>
      </c>
    </row>
    <row r="134" ht="23.25" customHeight="1" s="57">
      <c r="A134" s="69" t="n">
        <v>133</v>
      </c>
      <c r="B134" s="70" t="inlineStr">
        <is>
          <t>3</t>
        </is>
      </c>
      <c r="C134" s="69" t="inlineStr">
        <is>
          <t>Syntegon (Standort Beringen)</t>
        </is>
      </c>
      <c r="D134" s="69" t="inlineStr">
        <is>
          <t>Beringen</t>
        </is>
      </c>
      <c r="E134" s="69" t="inlineStr">
        <is>
          <t>SH</t>
        </is>
      </c>
      <c r="F134" s="71" t="inlineStr">
        <is>
          <t>Verpackungsmaschinen</t>
        </is>
      </c>
      <c r="G134" s="71" t="inlineStr">
        <is>
          <t>Verpackungs- und Prozesstechnik für Pharma und Food</t>
        </is>
      </c>
      <c r="H134" s="72" t="n"/>
      <c r="I134" s="69" t="inlineStr">
        <is>
          <t>CHF</t>
        </is>
      </c>
      <c r="J134" s="72">
        <f>IF(H134="","",H134*IF(I134="CHF",1,IF(I134="EUR",'Legende &amp; Kriterien'!$C$13,'Legende &amp; Kriterien'!$C$14)))</f>
        <v/>
      </c>
      <c r="K134" s="69">
        <f>IF(P134="Rohstoffhandel","— Handel —",IF(J134="","k.A.",IF(J134&gt;=5000,"A: &gt;5 Mrd.",IF(J134&gt;=3000,"B: 3-5 Mrd.",IF(J134&gt;=1000,"C: 1-3 Mrd.","D: 0.1-1 Mrd.")))))</f>
        <v/>
      </c>
      <c r="L134" s="69" t="inlineStr">
        <is>
          <t>k.A.</t>
        </is>
      </c>
      <c r="M134" s="72" t="n">
        <v>1000</v>
      </c>
      <c r="N134" s="71" t="inlineStr">
        <is>
          <t>Konzern-HQ Stuttgart (DE), CVC/Apollo</t>
        </is>
      </c>
      <c r="O134" s="69" t="inlineStr">
        <is>
          <t>geschätzt</t>
        </is>
      </c>
      <c r="P134" s="69" t="inlineStr">
        <is>
          <t>Standort</t>
        </is>
      </c>
      <c r="Q134" s="71" t="inlineStr">
        <is>
          <t>Zweitgrösster Konzernstandort, HQ der BU Food Horizontal</t>
        </is>
      </c>
      <c r="R134" s="63" t="n"/>
      <c r="S134" s="63" t="n"/>
      <c r="T134" s="63" t="n"/>
      <c r="U134" s="64" t="n"/>
      <c r="V134" s="73" t="inlineStr">
        <is>
          <t>https://www.syntegon.com/en/locations/beringen/</t>
        </is>
      </c>
      <c r="W134" s="69" t="inlineStr">
        <is>
          <t>Syntegon</t>
        </is>
      </c>
      <c r="X134" s="74" t="inlineStr">
        <is>
          <t>Stellen suchen</t>
        </is>
      </c>
    </row>
    <row r="135" ht="15" customHeight="1" s="57">
      <c r="A135" s="69" t="n">
        <v>134</v>
      </c>
      <c r="B135" s="70" t="inlineStr">
        <is>
          <t>3</t>
        </is>
      </c>
      <c r="C135" s="69" t="inlineStr">
        <is>
          <t>TRUMPF Schweiz</t>
        </is>
      </c>
      <c r="D135" s="69" t="inlineStr">
        <is>
          <t>Grüsch</t>
        </is>
      </c>
      <c r="E135" s="69" t="inlineStr">
        <is>
          <t>GR</t>
        </is>
      </c>
      <c r="F135" s="71" t="inlineStr">
        <is>
          <t>Werkzeugmaschinen/Laser</t>
        </is>
      </c>
      <c r="G135" s="71" t="inlineStr">
        <is>
          <t>Laser und Lasersysteme für Materialbearbeitung</t>
        </is>
      </c>
      <c r="H135" s="72" t="n"/>
      <c r="I135" s="69" t="inlineStr">
        <is>
          <t>CHF</t>
        </is>
      </c>
      <c r="J135" s="72">
        <f>IF(H135="","",H135*IF(I135="CHF",1,IF(I135="EUR",'Legende &amp; Kriterien'!$C$13,'Legende &amp; Kriterien'!$C$14)))</f>
        <v/>
      </c>
      <c r="K135" s="69">
        <f>IF(P135="Rohstoffhandel","— Handel —",IF(J135="","k.A.",IF(J135&gt;=5000,"A: &gt;5 Mrd.",IF(J135&gt;=3000,"B: 3-5 Mrd.",IF(J135&gt;=1000,"C: 1-3 Mrd.","D: 0.1-1 Mrd.")))))</f>
        <v/>
      </c>
      <c r="L135" s="69" t="inlineStr">
        <is>
          <t>k.A.</t>
        </is>
      </c>
      <c r="M135" s="72" t="n">
        <v>500</v>
      </c>
      <c r="N135" s="71" t="inlineStr">
        <is>
          <t>TRUMPF SE (DE)</t>
        </is>
      </c>
      <c r="O135" s="69" t="inlineStr">
        <is>
          <t>geschätzt</t>
        </is>
      </c>
      <c r="P135" s="69" t="inlineStr">
        <is>
          <t>Standort</t>
        </is>
      </c>
      <c r="Q135" s="71" t="n"/>
      <c r="R135" s="63" t="n"/>
      <c r="S135" s="63" t="n"/>
      <c r="T135" s="63" t="n"/>
      <c r="U135" s="64" t="n"/>
      <c r="V135" s="73" t="inlineStr">
        <is>
          <t>https://www.trumpf.com/de_CH/</t>
        </is>
      </c>
      <c r="W135" s="69" t="inlineStr">
        <is>
          <t>TRUMPF</t>
        </is>
      </c>
      <c r="X135" s="74" t="inlineStr">
        <is>
          <t>Stellen suchen</t>
        </is>
      </c>
    </row>
    <row r="136" ht="23.25" customHeight="1" s="57">
      <c r="A136" s="87" t="n">
        <v>135</v>
      </c>
      <c r="B136" s="88" t="inlineStr">
        <is>
          <t>3</t>
        </is>
      </c>
      <c r="C136" s="87" t="inlineStr">
        <is>
          <t>thyssenkrupp Presta</t>
        </is>
      </c>
      <c r="D136" s="87" t="inlineStr">
        <is>
          <t>Eschen</t>
        </is>
      </c>
      <c r="E136" s="87" t="inlineStr">
        <is>
          <t>FL</t>
        </is>
      </c>
      <c r="F136" s="89" t="inlineStr">
        <is>
          <t>Automotive-Zulieferung</t>
        </is>
      </c>
      <c r="G136" s="89" t="inlineStr">
        <is>
          <t>Lenksysteme, Lenksäulen und Massivumformteile für Automobilhersteller</t>
        </is>
      </c>
      <c r="H136" s="90" t="n"/>
      <c r="I136" s="87" t="inlineStr">
        <is>
          <t>CHF</t>
        </is>
      </c>
      <c r="J136" s="90">
        <f>IF(H136="","",H136*IF(I136="CHF",1,IF(I136="EUR",'Legende &amp; Kriterien'!$C$13,'Legende &amp; Kriterien'!$C$14)))</f>
        <v/>
      </c>
      <c r="K136" s="87">
        <f>IF(P136="Rohstoffhandel","— Handel —",IF(J136="","k.A.",IF(J136&gt;=5000,"A: &gt;5 Mrd.",IF(J136&gt;=3000,"B: 3-5 Mrd.",IF(J136&gt;=1000,"C: 1-3 Mrd.","D: 0.1-1 Mrd.")))))</f>
        <v/>
      </c>
      <c r="L136" s="87" t="inlineStr">
        <is>
          <t>k.A.</t>
        </is>
      </c>
      <c r="M136" s="90" t="n">
        <v>10900</v>
      </c>
      <c r="N136" s="89" t="inlineStr">
        <is>
          <t>thyssenkrupp AG (DE)</t>
        </is>
      </c>
      <c r="O136" s="87" t="inlineStr">
        <is>
          <t>geschätzt</t>
        </is>
      </c>
      <c r="P136" s="87" t="inlineStr">
        <is>
          <t>Liechtenstein</t>
        </is>
      </c>
      <c r="Q136" s="89" t="inlineStr">
        <is>
          <t>Keine separate Zahl; ca. 2'500 MA in Eschen</t>
        </is>
      </c>
      <c r="R136" s="63" t="n"/>
      <c r="S136" s="63" t="n"/>
      <c r="T136" s="63" t="n"/>
      <c r="U136" s="64" t="n"/>
      <c r="V136" s="91" t="inlineStr">
        <is>
          <t>https://www.thyssenkrupp-automotive-technology.com/de/unternehmen/organisationsstruktur/steering</t>
        </is>
      </c>
      <c r="W136" s="87" t="inlineStr">
        <is>
          <t>thyssenkrupp Presta</t>
        </is>
      </c>
      <c r="X136" s="92" t="inlineStr">
        <is>
          <t>Stellen suchen</t>
        </is>
      </c>
    </row>
    <row r="137" ht="15" customHeight="1" s="57">
      <c r="A137" s="87" t="n">
        <v>136</v>
      </c>
      <c r="B137" s="88" t="inlineStr">
        <is>
          <t>3</t>
        </is>
      </c>
      <c r="C137" s="87" t="inlineStr">
        <is>
          <t>Hoval</t>
        </is>
      </c>
      <c r="D137" s="87" t="inlineStr">
        <is>
          <t>Vaduz</t>
        </is>
      </c>
      <c r="E137" s="87" t="inlineStr">
        <is>
          <t>FL</t>
        </is>
      </c>
      <c r="F137" s="89" t="inlineStr">
        <is>
          <t>Gebäudetechnik/HLK</t>
        </is>
      </c>
      <c r="G137" s="89" t="inlineStr">
        <is>
          <t>Wärmepumpen, Heizkessel, Lüftungs- und Klimatechnik</t>
        </is>
      </c>
      <c r="H137" s="90" t="n"/>
      <c r="I137" s="87" t="inlineStr">
        <is>
          <t>CHF</t>
        </is>
      </c>
      <c r="J137" s="90">
        <f>IF(H137="","",H137*IF(I137="CHF",1,IF(I137="EUR",'Legende &amp; Kriterien'!$C$13,'Legende &amp; Kriterien'!$C$14)))</f>
        <v/>
      </c>
      <c r="K137" s="87">
        <f>IF(P137="Rohstoffhandel","— Handel —",IF(J137="","k.A.",IF(J137&gt;=5000,"A: &gt;5 Mrd.",IF(J137&gt;=3000,"B: 3-5 Mrd.",IF(J137&gt;=1000,"C: 1-3 Mrd.","D: 0.1-1 Mrd.")))))</f>
        <v/>
      </c>
      <c r="L137" s="87" t="inlineStr">
        <is>
          <t>k.A.</t>
        </is>
      </c>
      <c r="M137" s="90" t="n">
        <v>2500</v>
      </c>
      <c r="N137" s="89" t="inlineStr">
        <is>
          <t>Familienbesitz, privat</t>
        </is>
      </c>
      <c r="O137" s="87" t="inlineStr">
        <is>
          <t>geschätzt</t>
        </is>
      </c>
      <c r="P137" s="87" t="inlineStr">
        <is>
          <t>Liechtenstein</t>
        </is>
      </c>
      <c r="Q137" s="89" t="inlineStr">
        <is>
          <t>Publiziert keine Konzernzahlen</t>
        </is>
      </c>
      <c r="R137" s="63" t="n"/>
      <c r="S137" s="63" t="n"/>
      <c r="T137" s="63" t="n"/>
      <c r="U137" s="64" t="n"/>
      <c r="V137" s="91" t="inlineStr">
        <is>
          <t>https://www.hoval.ch/de_CH/Unternehmen/unternehmen/</t>
        </is>
      </c>
      <c r="W137" s="87" t="inlineStr">
        <is>
          <t>Hoval</t>
        </is>
      </c>
      <c r="X137" s="92" t="inlineStr">
        <is>
          <t>Stellen suchen</t>
        </is>
      </c>
    </row>
    <row r="138" ht="23.25" customHeight="1" s="57">
      <c r="A138" s="87" t="n">
        <v>137</v>
      </c>
      <c r="B138" s="88" t="inlineStr">
        <is>
          <t>3</t>
        </is>
      </c>
      <c r="C138" s="87" t="inlineStr">
        <is>
          <t>KAISER</t>
        </is>
      </c>
      <c r="D138" s="87" t="inlineStr">
        <is>
          <t>Schaanwald (Mauren)</t>
        </is>
      </c>
      <c r="E138" s="87" t="inlineStr">
        <is>
          <t>FL</t>
        </is>
      </c>
      <c r="F138" s="89" t="inlineStr">
        <is>
          <t>Spezialfahrzeuge/Maschinenbau</t>
        </is>
      </c>
      <c r="G138" s="89" t="inlineStr">
        <is>
          <t>Mobil-Schreitbagger, Kanalreinigungs- und Industrieentsorgungsfahrzeuge</t>
        </is>
      </c>
      <c r="H138" s="90" t="n"/>
      <c r="I138" s="87" t="inlineStr">
        <is>
          <t>CHF</t>
        </is>
      </c>
      <c r="J138" s="90">
        <f>IF(H138="","",H138*IF(I138="CHF",1,IF(I138="EUR",'Legende &amp; Kriterien'!$C$13,'Legende &amp; Kriterien'!$C$14)))</f>
        <v/>
      </c>
      <c r="K138" s="87">
        <f>IF(P138="Rohstoffhandel","— Handel —",IF(J138="","k.A.",IF(J138&gt;=5000,"A: &gt;5 Mrd.",IF(J138&gt;=3000,"B: 3-5 Mrd.",IF(J138&gt;=1000,"C: 1-3 Mrd.","D: 0.1-1 Mrd.")))))</f>
        <v/>
      </c>
      <c r="L138" s="87" t="inlineStr">
        <is>
          <t>k.A.</t>
        </is>
      </c>
      <c r="M138" s="90" t="n">
        <v>1500</v>
      </c>
      <c r="N138" s="89" t="inlineStr">
        <is>
          <t>Familie Kaiser, privat</t>
        </is>
      </c>
      <c r="O138" s="87" t="inlineStr">
        <is>
          <t>geschätzt</t>
        </is>
      </c>
      <c r="P138" s="87" t="inlineStr">
        <is>
          <t>Liechtenstein</t>
        </is>
      </c>
      <c r="Q138" s="89" t="n"/>
      <c r="R138" s="63" t="n"/>
      <c r="S138" s="63" t="n"/>
      <c r="T138" s="63" t="n"/>
      <c r="U138" s="64" t="n"/>
      <c r="V138" s="91" t="inlineStr">
        <is>
          <t>https://www.kaiser.li/company</t>
        </is>
      </c>
      <c r="W138" s="87" t="inlineStr">
        <is>
          <t>KAISER</t>
        </is>
      </c>
      <c r="X138" s="92" t="inlineStr">
        <is>
          <t>Stellen suchen</t>
        </is>
      </c>
    </row>
    <row r="139" ht="23.25" customHeight="1" s="57">
      <c r="A139" s="87" t="n">
        <v>138</v>
      </c>
      <c r="B139" s="88" t="inlineStr">
        <is>
          <t>3</t>
        </is>
      </c>
      <c r="C139" s="87" t="inlineStr">
        <is>
          <t>Neutrik</t>
        </is>
      </c>
      <c r="D139" s="87" t="inlineStr">
        <is>
          <t>Schaan</t>
        </is>
      </c>
      <c r="E139" s="87" t="inlineStr">
        <is>
          <t>FL</t>
        </is>
      </c>
      <c r="F139" s="89" t="inlineStr">
        <is>
          <t>Elektrotechnik/Verbindungstechnik</t>
        </is>
      </c>
      <c r="G139" s="89" t="inlineStr">
        <is>
          <t>Steckverbinder für Audio, Video, Daten und Strom</t>
        </is>
      </c>
      <c r="H139" s="90" t="n"/>
      <c r="I139" s="87" t="inlineStr">
        <is>
          <t>CHF</t>
        </is>
      </c>
      <c r="J139" s="90">
        <f>IF(H139="","",H139*IF(I139="CHF",1,IF(I139="EUR",'Legende &amp; Kriterien'!$C$13,'Legende &amp; Kriterien'!$C$14)))</f>
        <v/>
      </c>
      <c r="K139" s="87">
        <f>IF(P139="Rohstoffhandel","— Handel —",IF(J139="","k.A.",IF(J139&gt;=5000,"A: &gt;5 Mrd.",IF(J139&gt;=3000,"B: 3-5 Mrd.",IF(J139&gt;=1000,"C: 1-3 Mrd.","D: 0.1-1 Mrd.")))))</f>
        <v/>
      </c>
      <c r="L139" s="87" t="inlineStr">
        <is>
          <t>k.A.</t>
        </is>
      </c>
      <c r="M139" s="90" t="n">
        <v>1000</v>
      </c>
      <c r="N139" s="89" t="inlineStr">
        <is>
          <t>Privat, nicht kotiert</t>
        </is>
      </c>
      <c r="O139" s="87" t="inlineStr">
        <is>
          <t>geschätzt</t>
        </is>
      </c>
      <c r="P139" s="87" t="inlineStr">
        <is>
          <t>Liechtenstein</t>
        </is>
      </c>
      <c r="Q139" s="89" t="n"/>
      <c r="R139" s="63" t="n"/>
      <c r="S139" s="63" t="n"/>
      <c r="T139" s="63" t="n"/>
      <c r="U139" s="64" t="n"/>
      <c r="V139" s="91" t="inlineStr">
        <is>
          <t>https://www.neutrikgroup.com/en/about/company</t>
        </is>
      </c>
      <c r="W139" s="87" t="inlineStr">
        <is>
          <t>Neutrik</t>
        </is>
      </c>
      <c r="X139" s="92" t="inlineStr">
        <is>
          <t>Stellen suchen</t>
        </is>
      </c>
    </row>
    <row r="140" ht="23.25" customHeight="1" s="57">
      <c r="A140" s="87" t="n">
        <v>139</v>
      </c>
      <c r="B140" s="88" t="inlineStr">
        <is>
          <t>3</t>
        </is>
      </c>
      <c r="C140" s="87" t="inlineStr">
        <is>
          <t>Elkuch Group</t>
        </is>
      </c>
      <c r="D140" s="87" t="inlineStr">
        <is>
          <t>Bendern/Gamprin</t>
        </is>
      </c>
      <c r="E140" s="87" t="inlineStr">
        <is>
          <t>FL</t>
        </is>
      </c>
      <c r="F140" s="89" t="inlineStr">
        <is>
          <t>Metallbau/Industriekomponenten</t>
        </is>
      </c>
      <c r="G140" s="89" t="inlineStr">
        <is>
          <t>Brandschutztüren und -tore, Apparate-, Behälter- und Blechteilebau</t>
        </is>
      </c>
      <c r="H140" s="90" t="n"/>
      <c r="I140" s="87" t="inlineStr">
        <is>
          <t>CHF</t>
        </is>
      </c>
      <c r="J140" s="90">
        <f>IF(H140="","",H140*IF(I140="CHF",1,IF(I140="EUR",'Legende &amp; Kriterien'!$C$13,'Legende &amp; Kriterien'!$C$14)))</f>
        <v/>
      </c>
      <c r="K140" s="87">
        <f>IF(P140="Rohstoffhandel","— Handel —",IF(J140="","k.A.",IF(J140&gt;=5000,"A: &gt;5 Mrd.",IF(J140&gt;=3000,"B: 3-5 Mrd.",IF(J140&gt;=1000,"C: 1-3 Mrd.","D: 0.1-1 Mrd.")))))</f>
        <v/>
      </c>
      <c r="L140" s="87" t="inlineStr">
        <is>
          <t>k.A.</t>
        </is>
      </c>
      <c r="M140" s="90" t="n">
        <v>380</v>
      </c>
      <c r="N140" s="89" t="inlineStr">
        <is>
          <t>Familienbesitz, privat</t>
        </is>
      </c>
      <c r="O140" s="87" t="inlineStr">
        <is>
          <t>geschätzt</t>
        </is>
      </c>
      <c r="P140" s="87" t="inlineStr">
        <is>
          <t>Liechtenstein</t>
        </is>
      </c>
      <c r="Q140" s="89" t="n"/>
      <c r="R140" s="63" t="n"/>
      <c r="S140" s="63" t="n"/>
      <c r="T140" s="63" t="n"/>
      <c r="U140" s="64" t="n"/>
      <c r="V140" s="91" t="inlineStr">
        <is>
          <t>https://www.elkuch.com/</t>
        </is>
      </c>
      <c r="W140" s="87" t="inlineStr">
        <is>
          <t>Elkuch Group</t>
        </is>
      </c>
      <c r="X140" s="92" t="inlineStr">
        <is>
          <t>Stellen suchen</t>
        </is>
      </c>
    </row>
    <row r="141" ht="15" customHeight="1" s="57">
      <c r="A141" s="87" t="n">
        <v>140</v>
      </c>
      <c r="B141" s="88" t="inlineStr">
        <is>
          <t>3</t>
        </is>
      </c>
      <c r="C141" s="87" t="inlineStr">
        <is>
          <t>Pantec Group</t>
        </is>
      </c>
      <c r="D141" s="87" t="inlineStr">
        <is>
          <t>Ruggell</t>
        </is>
      </c>
      <c r="E141" s="87" t="inlineStr">
        <is>
          <t>FL</t>
        </is>
      </c>
      <c r="F141" s="89" t="inlineStr">
        <is>
          <t>Automatisierung/Maschinenbau</t>
        </is>
      </c>
      <c r="G141" s="89" t="inlineStr">
        <is>
          <t>Steuerungstechnik, Maschinenmodule, laserbasierte Medizintechnik</t>
        </is>
      </c>
      <c r="H141" s="90" t="n"/>
      <c r="I141" s="87" t="inlineStr">
        <is>
          <t>CHF</t>
        </is>
      </c>
      <c r="J141" s="90">
        <f>IF(H141="","",H141*IF(I141="CHF",1,IF(I141="EUR",'Legende &amp; Kriterien'!$C$13,'Legende &amp; Kriterien'!$C$14)))</f>
        <v/>
      </c>
      <c r="K141" s="87">
        <f>IF(P141="Rohstoffhandel","— Handel —",IF(J141="","k.A.",IF(J141&gt;=5000,"A: &gt;5 Mrd.",IF(J141&gt;=3000,"B: 3-5 Mrd.",IF(J141&gt;=1000,"C: 1-3 Mrd.","D: 0.1-1 Mrd.")))))</f>
        <v/>
      </c>
      <c r="L141" s="87" t="inlineStr">
        <is>
          <t>k.A.</t>
        </is>
      </c>
      <c r="M141" s="90" t="n">
        <v>120</v>
      </c>
      <c r="N141" s="89" t="inlineStr">
        <is>
          <t>Familienunternehmen, privat</t>
        </is>
      </c>
      <c r="O141" s="87" t="inlineStr">
        <is>
          <t>geschätzt</t>
        </is>
      </c>
      <c r="P141" s="87" t="inlineStr">
        <is>
          <t>Liechtenstein</t>
        </is>
      </c>
      <c r="Q141" s="89" t="n"/>
      <c r="R141" s="63" t="n"/>
      <c r="S141" s="63" t="n"/>
      <c r="T141" s="63" t="n"/>
      <c r="U141" s="64" t="n"/>
      <c r="V141" s="91" t="inlineStr">
        <is>
          <t>https://jobs.pantec.com/wer-wir-sind</t>
        </is>
      </c>
      <c r="W141" s="87" t="inlineStr">
        <is>
          <t>Pantec Group</t>
        </is>
      </c>
      <c r="X141" s="92" t="inlineStr">
        <is>
          <t>Stellen suchen</t>
        </is>
      </c>
    </row>
    <row r="142" ht="23.25" customHeight="1" s="57">
      <c r="A142" s="93" t="n">
        <v>141</v>
      </c>
      <c r="B142" s="94" t="inlineStr">
        <is>
          <t>3</t>
        </is>
      </c>
      <c r="C142" s="93" t="inlineStr">
        <is>
          <t>Siemens Schweiz (Smart Infrastructure)</t>
        </is>
      </c>
      <c r="D142" s="93" t="inlineStr">
        <is>
          <t>Zug</t>
        </is>
      </c>
      <c r="E142" s="93" t="inlineStr">
        <is>
          <t>ZG</t>
        </is>
      </c>
      <c r="F142" s="95" t="inlineStr">
        <is>
          <t>Elektrotechnik/Gebäudeinfrastruktur</t>
        </is>
      </c>
      <c r="G142" s="95" t="inlineStr">
        <is>
          <t>Weltzentrale Smart Infrastructure: Führung, F&amp;E, Gebäude- und Netztechnik</t>
        </is>
      </c>
      <c r="H142" s="96" t="n"/>
      <c r="I142" s="93" t="inlineStr">
        <is>
          <t>CHF</t>
        </is>
      </c>
      <c r="J142" s="96">
        <f>IF(H142="","",H142*IF(I142="CHF",1,IF(I142="EUR",'Legende &amp; Kriterien'!$C$13,'Legende &amp; Kriterien'!$C$14)))</f>
        <v/>
      </c>
      <c r="K142" s="93">
        <f>IF(P142="Rohstoffhandel","— Handel —",IF(J142="","k.A.",IF(J142&gt;=5000,"A: &gt;5 Mrd.",IF(J142&gt;=3000,"B: 3-5 Mrd.",IF(J142&gt;=1000,"C: 1-3 Mrd.","D: 0.1-1 Mrd.")))))</f>
        <v/>
      </c>
      <c r="L142" s="93" t="inlineStr">
        <is>
          <t>k.A.</t>
        </is>
      </c>
      <c r="M142" s="96" t="n">
        <v>5900</v>
      </c>
      <c r="N142" s="95" t="inlineStr">
        <is>
          <t>Siemens AG (DE)</t>
        </is>
      </c>
      <c r="O142" s="93" t="inlineStr">
        <is>
          <t>geschätzt</t>
        </is>
      </c>
      <c r="P142" s="93" t="inlineStr">
        <is>
          <t>Konzern-HQ CH</t>
        </is>
      </c>
      <c r="Q142" s="95" t="inlineStr">
        <is>
          <t>GLOBAL-HQ</t>
        </is>
      </c>
      <c r="R142" s="63" t="n"/>
      <c r="S142" s="63" t="n"/>
      <c r="T142" s="63" t="n"/>
      <c r="U142" s="64" t="n"/>
      <c r="V142" s="97" t="inlineStr">
        <is>
          <t>https://press.siemens.com/global/en/pressrelease/siemens-climate-neutral-campus-zug-highlights-investment-excellence-and-switzerland</t>
        </is>
      </c>
      <c r="W142" s="93" t="inlineStr">
        <is>
          <t>Siemens Schweiz (Smart Infrastructure)</t>
        </is>
      </c>
      <c r="X142" s="98" t="inlineStr">
        <is>
          <t>Stellen suchen</t>
        </is>
      </c>
    </row>
    <row r="143" ht="15" customHeight="1" s="57">
      <c r="A143" s="93" t="n">
        <v>142</v>
      </c>
      <c r="B143" s="94" t="inlineStr">
        <is>
          <t>3</t>
        </is>
      </c>
      <c r="C143" s="93" t="inlineStr">
        <is>
          <t>J&amp;J MedTech / DePuy Synthes</t>
        </is>
      </c>
      <c r="D143" s="93" t="inlineStr">
        <is>
          <t>Zuchwil</t>
        </is>
      </c>
      <c r="E143" s="93" t="inlineStr">
        <is>
          <t>SO</t>
        </is>
      </c>
      <c r="F143" s="95" t="inlineStr">
        <is>
          <t>Medtech (Orthopädie/Trauma)</t>
        </is>
      </c>
      <c r="G143" s="95" t="inlineStr">
        <is>
          <t>EMEA-Leitung Orthopädie, Trauma, Wirbelsäule, CMF, Sportmedizin</t>
        </is>
      </c>
      <c r="H143" s="96" t="n"/>
      <c r="I143" s="93" t="inlineStr">
        <is>
          <t>CHF</t>
        </is>
      </c>
      <c r="J143" s="96">
        <f>IF(H143="","",H143*IF(I143="CHF",1,IF(I143="EUR",'Legende &amp; Kriterien'!$C$13,'Legende &amp; Kriterien'!$C$14)))</f>
        <v/>
      </c>
      <c r="K143" s="93">
        <f>IF(P143="Rohstoffhandel","— Handel —",IF(J143="","k.A.",IF(J143&gt;=5000,"A: &gt;5 Mrd.",IF(J143&gt;=3000,"B: 3-5 Mrd.",IF(J143&gt;=1000,"C: 1-3 Mrd.","D: 0.1-1 Mrd.")))))</f>
        <v/>
      </c>
      <c r="L143" s="93" t="inlineStr">
        <is>
          <t>k.A.</t>
        </is>
      </c>
      <c r="M143" s="96" t="n">
        <v>4700</v>
      </c>
      <c r="N143" s="95" t="inlineStr">
        <is>
          <t>Johnson &amp; Johnson (US)</t>
        </is>
      </c>
      <c r="O143" s="93" t="inlineStr">
        <is>
          <t>geschätzt</t>
        </is>
      </c>
      <c r="P143" s="93" t="inlineStr">
        <is>
          <t>Konzern-HQ CH</t>
        </is>
      </c>
      <c r="Q143" s="95" t="inlineStr">
        <is>
          <t>EMEA-HQ</t>
        </is>
      </c>
      <c r="R143" s="63" t="n"/>
      <c r="S143" s="63" t="n"/>
      <c r="T143" s="63" t="n"/>
      <c r="U143" s="64" t="n"/>
      <c r="V143" s="97" t="inlineStr">
        <is>
          <t>https://www.jnj.com/CH/our-locations</t>
        </is>
      </c>
      <c r="W143" s="93" t="inlineStr">
        <is>
          <t>J&amp;J MedTech   DePuy Synthes</t>
        </is>
      </c>
      <c r="X143" s="98" t="inlineStr">
        <is>
          <t>Stellen suchen</t>
        </is>
      </c>
    </row>
    <row r="144" ht="23.25" customHeight="1" s="57">
      <c r="A144" s="93" t="n">
        <v>143</v>
      </c>
      <c r="B144" s="94" t="inlineStr">
        <is>
          <t>3</t>
        </is>
      </c>
      <c r="C144" s="93" t="inlineStr">
        <is>
          <t>SR Technics</t>
        </is>
      </c>
      <c r="D144" s="93" t="inlineStr">
        <is>
          <t>Kloten</t>
        </is>
      </c>
      <c r="E144" s="93" t="inlineStr">
        <is>
          <t>ZH</t>
        </is>
      </c>
      <c r="F144" s="95" t="inlineStr">
        <is>
          <t>Luftfahrt/MRO</t>
        </is>
      </c>
      <c r="G144" s="95" t="inlineStr">
        <is>
          <t>Konzernzentrale Flugzeugwartung, Triebwerks- und Komponenten-MRO</t>
        </is>
      </c>
      <c r="H144" s="96" t="n"/>
      <c r="I144" s="93" t="inlineStr">
        <is>
          <t>CHF</t>
        </is>
      </c>
      <c r="J144" s="96">
        <f>IF(H144="","",H144*IF(I144="CHF",1,IF(I144="EUR",'Legende &amp; Kriterien'!$C$13,'Legende &amp; Kriterien'!$C$14)))</f>
        <v/>
      </c>
      <c r="K144" s="93">
        <f>IF(P144="Rohstoffhandel","— Handel —",IF(J144="","k.A.",IF(J144&gt;=5000,"A: &gt;5 Mrd.",IF(J144&gt;=3000,"B: 3-5 Mrd.",IF(J144&gt;=1000,"C: 1-3 Mrd.","D: 0.1-1 Mrd.")))))</f>
        <v/>
      </c>
      <c r="L144" s="93" t="inlineStr">
        <is>
          <t>k.A.</t>
        </is>
      </c>
      <c r="M144" s="96" t="n">
        <v>1800</v>
      </c>
      <c r="N144" s="95" t="inlineStr">
        <is>
          <t>HNA Aviation (CN) / Mubadala (AE)</t>
        </is>
      </c>
      <c r="O144" s="93" t="inlineStr">
        <is>
          <t>geschätzt</t>
        </is>
      </c>
      <c r="P144" s="93" t="inlineStr">
        <is>
          <t>Konzern-HQ CH</t>
        </is>
      </c>
      <c r="Q144" s="95" t="inlineStr">
        <is>
          <t>GLOBAL-HQ</t>
        </is>
      </c>
      <c r="R144" s="63" t="n"/>
      <c r="S144" s="63" t="n"/>
      <c r="T144" s="63" t="n"/>
      <c r="U144" s="64" t="n"/>
      <c r="V144" s="97" t="inlineStr">
        <is>
          <t>https://www.srtechnics.com/</t>
        </is>
      </c>
      <c r="W144" s="93" t="inlineStr">
        <is>
          <t>SR Technics</t>
        </is>
      </c>
      <c r="X144" s="98" t="inlineStr">
        <is>
          <t>Stellen suchen</t>
        </is>
      </c>
    </row>
    <row r="145" ht="15" customHeight="1" s="57">
      <c r="A145" s="93" t="n">
        <v>144</v>
      </c>
      <c r="B145" s="94" t="inlineStr">
        <is>
          <t>2</t>
        </is>
      </c>
      <c r="C145" s="93" t="inlineStr">
        <is>
          <t>Leica Geosystems</t>
        </is>
      </c>
      <c r="D145" s="93" t="inlineStr">
        <is>
          <t>Heerbrugg</t>
        </is>
      </c>
      <c r="E145" s="93" t="inlineStr">
        <is>
          <t>SG</t>
        </is>
      </c>
      <c r="F145" s="95" t="inlineStr">
        <is>
          <t>Mess-/Sensortechnik</t>
        </is>
      </c>
      <c r="G145" s="95" t="inlineStr">
        <is>
          <t>Weltzentrale Hexagon Geosystems: F&amp;E, Produktion, Marketing</t>
        </is>
      </c>
      <c r="H145" s="96" t="n"/>
      <c r="I145" s="93" t="inlineStr">
        <is>
          <t>CHF</t>
        </is>
      </c>
      <c r="J145" s="96">
        <f>IF(H145="","",H145*IF(I145="CHF",1,IF(I145="EUR",'Legende &amp; Kriterien'!$C$13,'Legende &amp; Kriterien'!$C$14)))</f>
        <v/>
      </c>
      <c r="K145" s="93">
        <f>IF(P145="Rohstoffhandel","— Handel —",IF(J145="","k.A.",IF(J145&gt;=5000,"A: &gt;5 Mrd.",IF(J145&gt;=3000,"B: 3-5 Mrd.",IF(J145&gt;=1000,"C: 1-3 Mrd.","D: 0.1-1 Mrd.")))))</f>
        <v/>
      </c>
      <c r="L145" s="93" t="inlineStr">
        <is>
          <t>k.A.</t>
        </is>
      </c>
      <c r="M145" s="96" t="n">
        <v>1300</v>
      </c>
      <c r="N145" s="95" t="inlineStr">
        <is>
          <t>Hexagon AB (SE)</t>
        </is>
      </c>
      <c r="O145" s="93" t="inlineStr">
        <is>
          <t>geschätzt</t>
        </is>
      </c>
      <c r="P145" s="93" t="inlineStr">
        <is>
          <t>Konzern-HQ CH</t>
        </is>
      </c>
      <c r="Q145" s="95" t="inlineStr">
        <is>
          <t>DIVISIONS-HQ</t>
        </is>
      </c>
      <c r="R145" s="63" t="n"/>
      <c r="S145" s="63" t="n"/>
      <c r="T145" s="63" t="n"/>
      <c r="U145" s="64" t="n"/>
      <c r="V145" s="97" t="inlineStr">
        <is>
          <t>https://leica-geosystems.com/</t>
        </is>
      </c>
      <c r="W145" s="93" t="inlineStr">
        <is>
          <t>Leica Geosystems</t>
        </is>
      </c>
      <c r="X145" s="98" t="inlineStr">
        <is>
          <t>Stellen suchen</t>
        </is>
      </c>
    </row>
    <row r="146" ht="23.25" customHeight="1" s="57">
      <c r="A146" s="93" t="n">
        <v>145</v>
      </c>
      <c r="B146" s="94" t="inlineStr">
        <is>
          <t>3</t>
        </is>
      </c>
      <c r="C146" s="93" t="inlineStr">
        <is>
          <t>Medtronic Europe</t>
        </is>
      </c>
      <c r="D146" s="93" t="inlineStr">
        <is>
          <t>Tolochenaz</t>
        </is>
      </c>
      <c r="E146" s="93" t="inlineStr">
        <is>
          <t>VD</t>
        </is>
      </c>
      <c r="F146" s="95" t="inlineStr">
        <is>
          <t>Medtech (Herzrhythmus)</t>
        </is>
      </c>
      <c r="G146" s="95" t="inlineStr">
        <is>
          <t>EMEA-Steuerung, Produktion Herzschrittmacher, F&amp;E, Ärzte-Training</t>
        </is>
      </c>
      <c r="H146" s="96" t="n"/>
      <c r="I146" s="93" t="inlineStr">
        <is>
          <t>CHF</t>
        </is>
      </c>
      <c r="J146" s="96">
        <f>IF(H146="","",H146*IF(I146="CHF",1,IF(I146="EUR",'Legende &amp; Kriterien'!$C$13,'Legende &amp; Kriterien'!$C$14)))</f>
        <v/>
      </c>
      <c r="K146" s="93">
        <f>IF(P146="Rohstoffhandel","— Handel —",IF(J146="","k.A.",IF(J146&gt;=5000,"A: &gt;5 Mrd.",IF(J146&gt;=3000,"B: 3-5 Mrd.",IF(J146&gt;=1000,"C: 1-3 Mrd.","D: 0.1-1 Mrd.")))))</f>
        <v/>
      </c>
      <c r="L146" s="93" t="inlineStr">
        <is>
          <t>k.A.</t>
        </is>
      </c>
      <c r="M146" s="96" t="n">
        <v>1000</v>
      </c>
      <c r="N146" s="95" t="inlineStr">
        <is>
          <t>Medtronic plc (IE/US)</t>
        </is>
      </c>
      <c r="O146" s="93" t="inlineStr">
        <is>
          <t>geschätzt</t>
        </is>
      </c>
      <c r="P146" s="93" t="inlineStr">
        <is>
          <t>Konzern-HQ CH</t>
        </is>
      </c>
      <c r="Q146" s="95" t="inlineStr">
        <is>
          <t>EMEA-HQ</t>
        </is>
      </c>
      <c r="R146" s="63" t="n"/>
      <c r="S146" s="63" t="n"/>
      <c r="T146" s="63" t="n"/>
      <c r="U146" s="64" t="n"/>
      <c r="V146" s="97" t="inlineStr">
        <is>
          <t>https://www.medtronic.com/ch-de/</t>
        </is>
      </c>
      <c r="W146" s="93" t="inlineStr">
        <is>
          <t>Medtronic Europe</t>
        </is>
      </c>
      <c r="X146" s="98" t="inlineStr">
        <is>
          <t>Stellen suchen</t>
        </is>
      </c>
    </row>
    <row r="147" ht="15" customHeight="1" s="57">
      <c r="A147" s="93" t="n">
        <v>146</v>
      </c>
      <c r="B147" s="94" t="inlineStr">
        <is>
          <t>3</t>
        </is>
      </c>
      <c r="C147" s="93" t="inlineStr">
        <is>
          <t>Zimmer Switzerland Manufacturing</t>
        </is>
      </c>
      <c r="D147" s="93" t="inlineStr">
        <is>
          <t>Winterthur</t>
        </is>
      </c>
      <c r="E147" s="93" t="inlineStr">
        <is>
          <t>ZH</t>
        </is>
      </c>
      <c r="F147" s="95" t="inlineStr">
        <is>
          <t>Medtech (Orthopädie)</t>
        </is>
      </c>
      <c r="G147" s="95" t="inlineStr">
        <is>
          <t>Eine der weltgrössten Produktionsstätten für Gelenkimplantate</t>
        </is>
      </c>
      <c r="H147" s="96" t="n"/>
      <c r="I147" s="93" t="inlineStr">
        <is>
          <t>CHF</t>
        </is>
      </c>
      <c r="J147" s="96">
        <f>IF(H147="","",H147*IF(I147="CHF",1,IF(I147="EUR",'Legende &amp; Kriterien'!$C$13,'Legende &amp; Kriterien'!$C$14)))</f>
        <v/>
      </c>
      <c r="K147" s="93">
        <f>IF(P147="Rohstoffhandel","— Handel —",IF(J147="","k.A.",IF(J147&gt;=5000,"A: &gt;5 Mrd.",IF(J147&gt;=3000,"B: 3-5 Mrd.",IF(J147&gt;=1000,"C: 1-3 Mrd.","D: 0.1-1 Mrd.")))))</f>
        <v/>
      </c>
      <c r="L147" s="93" t="inlineStr">
        <is>
          <t>k.A.</t>
        </is>
      </c>
      <c r="M147" s="96" t="n">
        <v>1000</v>
      </c>
      <c r="N147" s="95" t="inlineStr">
        <is>
          <t>Zimmer Biomet (US)</t>
        </is>
      </c>
      <c r="O147" s="93" t="inlineStr">
        <is>
          <t>geschätzt</t>
        </is>
      </c>
      <c r="P147" s="93" t="inlineStr">
        <is>
          <t>Konzern-HQ CH</t>
        </is>
      </c>
      <c r="Q147" s="95" t="inlineStr">
        <is>
          <t>GROSSSTANDORT</t>
        </is>
      </c>
      <c r="R147" s="63" t="n"/>
      <c r="S147" s="63" t="n"/>
      <c r="T147" s="63" t="n"/>
      <c r="U147" s="64" t="n"/>
      <c r="V147" s="97" t="inlineStr">
        <is>
          <t>https://www.zimmerbiomet.com/</t>
        </is>
      </c>
      <c r="W147" s="93" t="inlineStr">
        <is>
          <t>Zimmer Switzerland Manufacturing</t>
        </is>
      </c>
      <c r="X147" s="98" t="inlineStr">
        <is>
          <t>Stellen suchen</t>
        </is>
      </c>
    </row>
    <row r="148" ht="23.25" customHeight="1" s="57">
      <c r="A148" s="93" t="n">
        <v>147</v>
      </c>
      <c r="B148" s="94" t="inlineStr">
        <is>
          <t>3</t>
        </is>
      </c>
      <c r="C148" s="93" t="inlineStr">
        <is>
          <t>Stryker</t>
        </is>
      </c>
      <c r="D148" s="93" t="inlineStr">
        <is>
          <t>Selzach</t>
        </is>
      </c>
      <c r="E148" s="93" t="inlineStr">
        <is>
          <t>SO</t>
        </is>
      </c>
      <c r="F148" s="95" t="inlineStr">
        <is>
          <t>Medtech (Trauma)</t>
        </is>
      </c>
      <c r="G148" s="95" t="inlineStr">
        <is>
          <t>Produktion, Forschung und Design für Trauma- und Extremitätenimplantate</t>
        </is>
      </c>
      <c r="H148" s="96" t="n"/>
      <c r="I148" s="93" t="inlineStr">
        <is>
          <t>CHF</t>
        </is>
      </c>
      <c r="J148" s="96">
        <f>IF(H148="","",H148*IF(I148="CHF",1,IF(I148="EUR",'Legende &amp; Kriterien'!$C$13,'Legende &amp; Kriterien'!$C$14)))</f>
        <v/>
      </c>
      <c r="K148" s="93">
        <f>IF(P148="Rohstoffhandel","— Handel —",IF(J148="","k.A.",IF(J148&gt;=5000,"A: &gt;5 Mrd.",IF(J148&gt;=3000,"B: 3-5 Mrd.",IF(J148&gt;=1000,"C: 1-3 Mrd.","D: 0.1-1 Mrd.")))))</f>
        <v/>
      </c>
      <c r="L148" s="93" t="inlineStr">
        <is>
          <t>k.A.</t>
        </is>
      </c>
      <c r="M148" s="96" t="n">
        <v>1000</v>
      </c>
      <c r="N148" s="95" t="inlineStr">
        <is>
          <t>Stryker Corp. (US)</t>
        </is>
      </c>
      <c r="O148" s="93" t="inlineStr">
        <is>
          <t>geschätzt</t>
        </is>
      </c>
      <c r="P148" s="93" t="inlineStr">
        <is>
          <t>Konzern-HQ CH</t>
        </is>
      </c>
      <c r="Q148" s="95" t="inlineStr">
        <is>
          <t>GROSSSTANDORT</t>
        </is>
      </c>
      <c r="R148" s="63" t="n"/>
      <c r="S148" s="63" t="n"/>
      <c r="T148" s="63" t="n"/>
      <c r="U148" s="64" t="n"/>
      <c r="V148" s="97" t="inlineStr">
        <is>
          <t>https://www.stryker.com/ch/de/</t>
        </is>
      </c>
      <c r="W148" s="93" t="inlineStr">
        <is>
          <t>Stryker</t>
        </is>
      </c>
      <c r="X148" s="98" t="inlineStr">
        <is>
          <t>Stellen suchen</t>
        </is>
      </c>
    </row>
    <row r="149" ht="15" customHeight="1" s="57">
      <c r="A149" s="93" t="n">
        <v>148</v>
      </c>
      <c r="B149" s="94" t="inlineStr">
        <is>
          <t>3</t>
        </is>
      </c>
      <c r="C149" s="93" t="inlineStr">
        <is>
          <t>Biotronik Vascular (Teleflex)</t>
        </is>
      </c>
      <c r="D149" s="93" t="inlineStr">
        <is>
          <t>Bülach</t>
        </is>
      </c>
      <c r="E149" s="93" t="inlineStr">
        <is>
          <t>ZH</t>
        </is>
      </c>
      <c r="F149" s="95" t="inlineStr">
        <is>
          <t>Medtech (Kardiologie)</t>
        </is>
      </c>
      <c r="G149" s="95" t="inlineStr">
        <is>
          <t>Weltweiter Sitz und Produktion des Vascular-Intervention-Geschäfts</t>
        </is>
      </c>
      <c r="H149" s="96" t="n"/>
      <c r="I149" s="93" t="inlineStr">
        <is>
          <t>CHF</t>
        </is>
      </c>
      <c r="J149" s="96">
        <f>IF(H149="","",H149*IF(I149="CHF",1,IF(I149="EUR",'Legende &amp; Kriterien'!$C$13,'Legende &amp; Kriterien'!$C$14)))</f>
        <v/>
      </c>
      <c r="K149" s="93">
        <f>IF(P149="Rohstoffhandel","— Handel —",IF(J149="","k.A.",IF(J149&gt;=5000,"A: &gt;5 Mrd.",IF(J149&gt;=3000,"B: 3-5 Mrd.",IF(J149&gt;=1000,"C: 1-3 Mrd.","D: 0.1-1 Mrd.")))))</f>
        <v/>
      </c>
      <c r="L149" s="93" t="inlineStr">
        <is>
          <t>k.A.</t>
        </is>
      </c>
      <c r="M149" s="96" t="n">
        <v>1000</v>
      </c>
      <c r="N149" s="95" t="inlineStr">
        <is>
          <t>Teleflex Inc. (US)</t>
        </is>
      </c>
      <c r="O149" s="93" t="inlineStr">
        <is>
          <t>geschätzt</t>
        </is>
      </c>
      <c r="P149" s="93" t="inlineStr">
        <is>
          <t>Konzern-HQ CH</t>
        </is>
      </c>
      <c r="Q149" s="95" t="inlineStr">
        <is>
          <t>DIVISIONS-HQ</t>
        </is>
      </c>
      <c r="R149" s="63" t="n"/>
      <c r="S149" s="63" t="n"/>
      <c r="T149" s="63" t="n"/>
      <c r="U149" s="64" t="n"/>
      <c r="V149" s="97" t="inlineStr">
        <is>
          <t>https://www.biotronik.com/en-us/change-ownership-vascular-intervention-business</t>
        </is>
      </c>
      <c r="W149" s="93" t="inlineStr">
        <is>
          <t>Biotronik Vascular (Teleflex)</t>
        </is>
      </c>
      <c r="X149" s="98" t="inlineStr">
        <is>
          <t>Stellen suchen</t>
        </is>
      </c>
    </row>
    <row r="150" ht="23.25" customHeight="1" s="57">
      <c r="A150" s="59" t="n">
        <v>149</v>
      </c>
      <c r="B150" s="60" t="inlineStr">
        <is>
          <t>1</t>
        </is>
      </c>
      <c r="C150" s="59" t="inlineStr">
        <is>
          <t>Bruker Switzerland (BioSpin)</t>
        </is>
      </c>
      <c r="D150" s="59" t="inlineStr">
        <is>
          <t>Fällanden</t>
        </is>
      </c>
      <c r="E150" s="59" t="inlineStr">
        <is>
          <t>ZH</t>
        </is>
      </c>
      <c r="F150" s="61" t="inlineStr">
        <is>
          <t>Analytische Instrumente</t>
        </is>
      </c>
      <c r="G150" s="61" t="inlineStr">
        <is>
          <t>Weltzentrale BioSpin: Entwicklung und Bau von NMR-/EPR-Spektrometern</t>
        </is>
      </c>
      <c r="H150" s="62" t="n"/>
      <c r="I150" s="59" t="inlineStr">
        <is>
          <t>CHF</t>
        </is>
      </c>
      <c r="J150" s="62">
        <f>IF(H150="","",H150*IF(I150="CHF",1,IF(I150="EUR",'Legende &amp; Kriterien'!$C$13,'Legende &amp; Kriterien'!$C$14)))</f>
        <v/>
      </c>
      <c r="K150" s="59">
        <f>IF(P150="Rohstoffhandel","— Handel —",IF(J150="","k.A.",IF(J150&gt;=5000,"A: &gt;5 Mrd.",IF(J150&gt;=3000,"B: 3-5 Mrd.",IF(J150&gt;=1000,"C: 1-3 Mrd.","D: 0.1-1 Mrd.")))))</f>
        <v/>
      </c>
      <c r="L150" s="59" t="inlineStr">
        <is>
          <t>k.A.</t>
        </is>
      </c>
      <c r="M150" s="62" t="n">
        <v>1000</v>
      </c>
      <c r="N150" s="61" t="inlineStr">
        <is>
          <t>Bruker Corp. (US)</t>
        </is>
      </c>
      <c r="O150" s="59" t="inlineStr">
        <is>
          <t>geschätzt</t>
        </is>
      </c>
      <c r="P150" s="59" t="inlineStr">
        <is>
          <t>Konzern-HQ CH</t>
        </is>
      </c>
      <c r="Q150" s="61" t="inlineStr">
        <is>
          <t>DIVISIONS-HQ</t>
        </is>
      </c>
      <c r="R150" s="63" t="n"/>
      <c r="S150" s="63" t="n"/>
      <c r="T150" s="63" t="n"/>
      <c r="U150" s="64" t="n"/>
      <c r="V150" s="65" t="inlineStr">
        <is>
          <t>https://www.bruker.com/</t>
        </is>
      </c>
      <c r="W150" s="59" t="inlineStr">
        <is>
          <t>Bruker Switzerland (BioSpin)</t>
        </is>
      </c>
      <c r="X150" s="66" t="inlineStr">
        <is>
          <t>Stellen suchen</t>
        </is>
      </c>
      <c r="Y150" s="67" t="inlineStr">
        <is>
          <t>https://www.jobs.ch/en/companies/32002-bruker-biospin-ag/</t>
        </is>
      </c>
    </row>
    <row r="151" ht="23.25" customHeight="1" s="57">
      <c r="A151" s="93" t="n">
        <v>150</v>
      </c>
      <c r="B151" s="94" t="inlineStr">
        <is>
          <t>3</t>
        </is>
      </c>
      <c r="C151" s="93" t="inlineStr">
        <is>
          <t>Jet Aviation</t>
        </is>
      </c>
      <c r="D151" s="93" t="inlineStr">
        <is>
          <t>Basel</t>
        </is>
      </c>
      <c r="E151" s="93" t="inlineStr">
        <is>
          <t>BS</t>
        </is>
      </c>
      <c r="F151" s="95" t="inlineStr">
        <is>
          <t>Luftfahrt/MRO</t>
        </is>
      </c>
      <c r="G151" s="95" t="inlineStr">
        <is>
          <t>Weltzentrale: Completion, Wartung und Umbau von Geschäftsflugzeugen</t>
        </is>
      </c>
      <c r="H151" s="96" t="n"/>
      <c r="I151" s="93" t="inlineStr">
        <is>
          <t>CHF</t>
        </is>
      </c>
      <c r="J151" s="96">
        <f>IF(H151="","",H151*IF(I151="CHF",1,IF(I151="EUR",'Legende &amp; Kriterien'!$C$13,'Legende &amp; Kriterien'!$C$14)))</f>
        <v/>
      </c>
      <c r="K151" s="93">
        <f>IF(P151="Rohstoffhandel","— Handel —",IF(J151="","k.A.",IF(J151&gt;=5000,"A: &gt;5 Mrd.",IF(J151&gt;=3000,"B: 3-5 Mrd.",IF(J151&gt;=1000,"C: 1-3 Mrd.","D: 0.1-1 Mrd.")))))</f>
        <v/>
      </c>
      <c r="L151" s="93" t="inlineStr">
        <is>
          <t>k.A.</t>
        </is>
      </c>
      <c r="M151" s="96" t="n">
        <v>1000</v>
      </c>
      <c r="N151" s="95" t="inlineStr">
        <is>
          <t>General Dynamics (US)</t>
        </is>
      </c>
      <c r="O151" s="93" t="inlineStr">
        <is>
          <t>geschätzt</t>
        </is>
      </c>
      <c r="P151" s="93" t="inlineStr">
        <is>
          <t>Konzern-HQ CH</t>
        </is>
      </c>
      <c r="Q151" s="95" t="inlineStr">
        <is>
          <t>GLOBAL-HQ</t>
        </is>
      </c>
      <c r="R151" s="63" t="n"/>
      <c r="S151" s="63" t="n"/>
      <c r="T151" s="63" t="n"/>
      <c r="U151" s="64" t="n"/>
      <c r="V151" s="97" t="inlineStr">
        <is>
          <t>https://www.jetaviation.com/company/about/</t>
        </is>
      </c>
      <c r="W151" s="93" t="inlineStr">
        <is>
          <t>Jet Aviation</t>
        </is>
      </c>
      <c r="X151" s="98" t="inlineStr">
        <is>
          <t>Stellen suchen</t>
        </is>
      </c>
    </row>
    <row r="152" ht="23.25" customHeight="1" s="57">
      <c r="A152" s="93" t="n">
        <v>151</v>
      </c>
      <c r="B152" s="94" t="inlineStr">
        <is>
          <t>2</t>
        </is>
      </c>
      <c r="C152" s="93" t="inlineStr">
        <is>
          <t>Everllence Schweiz (ex MAN ES)</t>
        </is>
      </c>
      <c r="D152" s="93" t="inlineStr">
        <is>
          <t>Zürich</t>
        </is>
      </c>
      <c r="E152" s="93" t="inlineStr">
        <is>
          <t>ZH</t>
        </is>
      </c>
      <c r="F152" s="95" t="inlineStr">
        <is>
          <t>Energietechnik/Turbomaschinen</t>
        </is>
      </c>
      <c r="G152" s="95" t="inlineStr">
        <is>
          <t>Globales Zentrum Kompressionssysteme: Entwicklung, Produktion, Service</t>
        </is>
      </c>
      <c r="H152" s="96" t="n"/>
      <c r="I152" s="93" t="inlineStr">
        <is>
          <t>CHF</t>
        </is>
      </c>
      <c r="J152" s="96">
        <f>IF(H152="","",H152*IF(I152="CHF",1,IF(I152="EUR",'Legende &amp; Kriterien'!$C$13,'Legende &amp; Kriterien'!$C$14)))</f>
        <v/>
      </c>
      <c r="K152" s="93">
        <f>IF(P152="Rohstoffhandel","— Handel —",IF(J152="","k.A.",IF(J152&gt;=5000,"A: &gt;5 Mrd.",IF(J152&gt;=3000,"B: 3-5 Mrd.",IF(J152&gt;=1000,"C: 1-3 Mrd.","D: 0.1-1 Mrd.")))))</f>
        <v/>
      </c>
      <c r="L152" s="93" t="inlineStr">
        <is>
          <t>k.A.</t>
        </is>
      </c>
      <c r="M152" s="96" t="n">
        <v>900</v>
      </c>
      <c r="N152" s="95" t="inlineStr">
        <is>
          <t>Everllence SE / Traton (DE)</t>
        </is>
      </c>
      <c r="O152" s="93" t="inlineStr">
        <is>
          <t>geschätzt</t>
        </is>
      </c>
      <c r="P152" s="93" t="inlineStr">
        <is>
          <t>Konzern-HQ CH</t>
        </is>
      </c>
      <c r="Q152" s="95" t="inlineStr">
        <is>
          <t>DIVISIONS-HQ</t>
        </is>
      </c>
      <c r="R152" s="63" t="n"/>
      <c r="S152" s="63" t="n"/>
      <c r="T152" s="63" t="n"/>
      <c r="U152" s="64" t="n"/>
      <c r="V152" s="97" t="inlineStr">
        <is>
          <t>https://www.everllence.com/company/production-locations/zurich</t>
        </is>
      </c>
      <c r="W152" s="93" t="inlineStr">
        <is>
          <t>Everllence Schweiz (ex MAN ES)</t>
        </is>
      </c>
      <c r="X152" s="98" t="inlineStr">
        <is>
          <t>Stellen suchen</t>
        </is>
      </c>
    </row>
    <row r="153" ht="23.25" customHeight="1" s="57">
      <c r="A153" s="93" t="n">
        <v>152</v>
      </c>
      <c r="B153" s="94" t="inlineStr">
        <is>
          <t>3</t>
        </is>
      </c>
      <c r="C153" s="93" t="inlineStr">
        <is>
          <t>Dentsply Sirona Switzerland</t>
        </is>
      </c>
      <c r="D153" s="93" t="inlineStr">
        <is>
          <t>Ballaigues</t>
        </is>
      </c>
      <c r="E153" s="93" t="inlineStr">
        <is>
          <t>VD</t>
        </is>
      </c>
      <c r="F153" s="95" t="inlineStr">
        <is>
          <t>Dental (Endodontie)</t>
        </is>
      </c>
      <c r="G153" s="95" t="inlineStr">
        <is>
          <t>Weltzentrum Endodontie: über eine Million Wurzelkanalfeilen täglich, F&amp;E</t>
        </is>
      </c>
      <c r="H153" s="96" t="n"/>
      <c r="I153" s="93" t="inlineStr">
        <is>
          <t>CHF</t>
        </is>
      </c>
      <c r="J153" s="96">
        <f>IF(H153="","",H153*IF(I153="CHF",1,IF(I153="EUR",'Legende &amp; Kriterien'!$C$13,'Legende &amp; Kriterien'!$C$14)))</f>
        <v/>
      </c>
      <c r="K153" s="93">
        <f>IF(P153="Rohstoffhandel","— Handel —",IF(J153="","k.A.",IF(J153&gt;=5000,"A: &gt;5 Mrd.",IF(J153&gt;=3000,"B: 3-5 Mrd.",IF(J153&gt;=1000,"C: 1-3 Mrd.","D: 0.1-1 Mrd.")))))</f>
        <v/>
      </c>
      <c r="L153" s="93" t="inlineStr">
        <is>
          <t>k.A.</t>
        </is>
      </c>
      <c r="M153" s="96" t="n">
        <v>700</v>
      </c>
      <c r="N153" s="95" t="inlineStr">
        <is>
          <t>Dentsply Sirona (US)</t>
        </is>
      </c>
      <c r="O153" s="93" t="inlineStr">
        <is>
          <t>geschätzt</t>
        </is>
      </c>
      <c r="P153" s="93" t="inlineStr">
        <is>
          <t>Konzern-HQ CH</t>
        </is>
      </c>
      <c r="Q153" s="95" t="inlineStr">
        <is>
          <t>DIVISIONS-HQ</t>
        </is>
      </c>
      <c r="R153" s="63" t="n"/>
      <c r="S153" s="63" t="n"/>
      <c r="T153" s="63" t="n"/>
      <c r="U153" s="64" t="n"/>
      <c r="V153" s="97" t="inlineStr">
        <is>
          <t>https://www.dentsplysirona.com/</t>
        </is>
      </c>
      <c r="W153" s="93" t="inlineStr">
        <is>
          <t>Dentsply Sirona Switzerland</t>
        </is>
      </c>
      <c r="X153" s="98" t="inlineStr">
        <is>
          <t>Stellen suchen</t>
        </is>
      </c>
    </row>
    <row r="154" ht="23.25" customHeight="1" s="57">
      <c r="A154" s="59" t="n">
        <v>153</v>
      </c>
      <c r="B154" s="60" t="inlineStr">
        <is>
          <t>1</t>
        </is>
      </c>
      <c r="C154" s="59" t="inlineStr">
        <is>
          <t>ALSTOM (Schweiz)</t>
        </is>
      </c>
      <c r="D154" s="59" t="inlineStr">
        <is>
          <t>Zürich / Villeneuve</t>
        </is>
      </c>
      <c r="E154" s="59" t="inlineStr">
        <is>
          <t>ZH</t>
        </is>
      </c>
      <c r="F154" s="61" t="inlineStr">
        <is>
          <t>Bahntechnik</t>
        </is>
      </c>
      <c r="G154" s="61" t="inlineStr">
        <is>
          <t>Kompetenzzentrum Lokomotiven und Hochleistungs-Traktionssysteme</t>
        </is>
      </c>
      <c r="H154" s="62" t="n"/>
      <c r="I154" s="59" t="inlineStr">
        <is>
          <t>CHF</t>
        </is>
      </c>
      <c r="J154" s="62">
        <f>IF(H154="","",H154*IF(I154="CHF",1,IF(I154="EUR",'Legende &amp; Kriterien'!$C$13,'Legende &amp; Kriterien'!$C$14)))</f>
        <v/>
      </c>
      <c r="K154" s="59">
        <f>IF(P154="Rohstoffhandel","— Handel —",IF(J154="","k.A.",IF(J154&gt;=5000,"A: &gt;5 Mrd.",IF(J154&gt;=3000,"B: 3-5 Mrd.",IF(J154&gt;=1000,"C: 1-3 Mrd.","D: 0.1-1 Mrd.")))))</f>
        <v/>
      </c>
      <c r="L154" s="59" t="inlineStr">
        <is>
          <t>k.A.</t>
        </is>
      </c>
      <c r="M154" s="62" t="n">
        <v>700</v>
      </c>
      <c r="N154" s="61" t="inlineStr">
        <is>
          <t>Alstom S.A. (FR)</t>
        </is>
      </c>
      <c r="O154" s="59" t="inlineStr">
        <is>
          <t>geschätzt</t>
        </is>
      </c>
      <c r="P154" s="59" t="inlineStr">
        <is>
          <t>Konzern-HQ CH</t>
        </is>
      </c>
      <c r="Q154" s="61" t="inlineStr">
        <is>
          <t>DIVISIONS-HQ</t>
        </is>
      </c>
      <c r="R154" s="63" t="n"/>
      <c r="S154" s="63" t="n"/>
      <c r="T154" s="63" t="n"/>
      <c r="U154" s="64" t="n"/>
      <c r="V154" s="65" t="inlineStr">
        <is>
          <t>https://www.alstom.com/de/alstom-schweiz</t>
        </is>
      </c>
      <c r="W154" s="59" t="inlineStr">
        <is>
          <t>ALSTOM (Schweiz)</t>
        </is>
      </c>
      <c r="X154" s="66" t="inlineStr">
        <is>
          <t>Stellen suchen</t>
        </is>
      </c>
      <c r="Y154" s="67" t="inlineStr">
        <is>
          <t>https://jobsearch.alstom.com/search/</t>
        </is>
      </c>
    </row>
    <row r="155" ht="23.25" customHeight="1" s="57">
      <c r="A155" s="93" t="n">
        <v>154</v>
      </c>
      <c r="B155" s="94" t="inlineStr">
        <is>
          <t>3</t>
        </is>
      </c>
      <c r="C155" s="93" t="inlineStr">
        <is>
          <t>Kanadevia Inova</t>
        </is>
      </c>
      <c r="D155" s="93" t="inlineStr">
        <is>
          <t>Zürich</t>
        </is>
      </c>
      <c r="E155" s="93" t="inlineStr">
        <is>
          <t>ZH</t>
        </is>
      </c>
      <c r="F155" s="95" t="inlineStr">
        <is>
          <t>Energie-/Umwelttechnik</t>
        </is>
      </c>
      <c r="G155" s="95" t="inlineStr">
        <is>
          <t>Weltzentrale Greentech: Führung, Engineering, Waste-to-Energy-Projekte</t>
        </is>
      </c>
      <c r="H155" s="96" t="n"/>
      <c r="I155" s="93" t="inlineStr">
        <is>
          <t>CHF</t>
        </is>
      </c>
      <c r="J155" s="96">
        <f>IF(H155="","",H155*IF(I155="CHF",1,IF(I155="EUR",'Legende &amp; Kriterien'!$C$13,'Legende &amp; Kriterien'!$C$14)))</f>
        <v/>
      </c>
      <c r="K155" s="93">
        <f>IF(P155="Rohstoffhandel","— Handel —",IF(J155="","k.A.",IF(J155&gt;=5000,"A: &gt;5 Mrd.",IF(J155&gt;=3000,"B: 3-5 Mrd.",IF(J155&gt;=1000,"C: 1-3 Mrd.","D: 0.1-1 Mrd.")))))</f>
        <v/>
      </c>
      <c r="L155" s="93" t="inlineStr">
        <is>
          <t>k.A.</t>
        </is>
      </c>
      <c r="M155" s="96" t="n">
        <v>650</v>
      </c>
      <c r="N155" s="95" t="inlineStr">
        <is>
          <t>Kanadevia Corp. (JP)</t>
        </is>
      </c>
      <c r="O155" s="93" t="inlineStr">
        <is>
          <t>geschätzt</t>
        </is>
      </c>
      <c r="P155" s="93" t="inlineStr">
        <is>
          <t>Konzern-HQ CH</t>
        </is>
      </c>
      <c r="Q155" s="95" t="inlineStr">
        <is>
          <t>GLOBAL-HQ</t>
        </is>
      </c>
      <c r="R155" s="63" t="n"/>
      <c r="S155" s="63" t="n"/>
      <c r="T155" s="63" t="n"/>
      <c r="U155" s="64" t="n"/>
      <c r="V155" s="97" t="inlineStr">
        <is>
          <t>https://www.kanadevia-inova.com/</t>
        </is>
      </c>
      <c r="W155" s="93" t="inlineStr">
        <is>
          <t>Kanadevia Inova</t>
        </is>
      </c>
      <c r="X155" s="98" t="inlineStr">
        <is>
          <t>Stellen suchen</t>
        </is>
      </c>
    </row>
    <row r="156" ht="23.25" customHeight="1" s="57">
      <c r="A156" s="93" t="n">
        <v>155</v>
      </c>
      <c r="B156" s="94" t="inlineStr">
        <is>
          <t>3</t>
        </is>
      </c>
      <c r="C156" s="93" t="inlineStr">
        <is>
          <t>FAULHABER SA</t>
        </is>
      </c>
      <c r="D156" s="93" t="inlineStr">
        <is>
          <t>Croglio</t>
        </is>
      </c>
      <c r="E156" s="93" t="inlineStr">
        <is>
          <t>TI</t>
        </is>
      </c>
      <c r="F156" s="95" t="inlineStr">
        <is>
          <t>Mikrotechnik/Antriebe</t>
        </is>
      </c>
      <c r="G156" s="95" t="inlineStr">
        <is>
          <t>Entwicklung und Produktion von Mikroantrieben für Medizin und Mikrotechnik</t>
        </is>
      </c>
      <c r="H156" s="96" t="n"/>
      <c r="I156" s="93" t="inlineStr">
        <is>
          <t>CHF</t>
        </is>
      </c>
      <c r="J156" s="96">
        <f>IF(H156="","",H156*IF(I156="CHF",1,IF(I156="EUR",'Legende &amp; Kriterien'!$C$13,'Legende &amp; Kriterien'!$C$14)))</f>
        <v/>
      </c>
      <c r="K156" s="93">
        <f>IF(P156="Rohstoffhandel","— Handel —",IF(J156="","k.A.",IF(J156&gt;=5000,"A: &gt;5 Mrd.",IF(J156&gt;=3000,"B: 3-5 Mrd.",IF(J156&gt;=1000,"C: 1-3 Mrd.","D: 0.1-1 Mrd.")))))</f>
        <v/>
      </c>
      <c r="L156" s="93" t="inlineStr">
        <is>
          <t>k.A.</t>
        </is>
      </c>
      <c r="M156" s="96" t="n">
        <v>475</v>
      </c>
      <c r="N156" s="95" t="inlineStr">
        <is>
          <t>Dr. Fritz Faulhaber (DE)</t>
        </is>
      </c>
      <c r="O156" s="93" t="inlineStr">
        <is>
          <t>geschätzt</t>
        </is>
      </c>
      <c r="P156" s="93" t="inlineStr">
        <is>
          <t>Konzern-HQ CH</t>
        </is>
      </c>
      <c r="Q156" s="95" t="inlineStr">
        <is>
          <t>GROSSSTANDORT</t>
        </is>
      </c>
      <c r="R156" s="63" t="n"/>
      <c r="S156" s="63" t="n"/>
      <c r="T156" s="63" t="n"/>
      <c r="U156" s="64" t="n"/>
      <c r="V156" s="97" t="inlineStr">
        <is>
          <t>https://www.faulhaber.com/</t>
        </is>
      </c>
      <c r="W156" s="93" t="inlineStr">
        <is>
          <t>FAULHABER SA</t>
        </is>
      </c>
      <c r="X156" s="98" t="inlineStr">
        <is>
          <t>Stellen suchen</t>
        </is>
      </c>
    </row>
    <row r="157" ht="15" customHeight="1" s="57">
      <c r="A157" s="93" t="n">
        <v>156</v>
      </c>
      <c r="B157" s="94" t="inlineStr">
        <is>
          <t>3</t>
        </is>
      </c>
      <c r="C157" s="93" t="inlineStr">
        <is>
          <t>Safran Vectronix</t>
        </is>
      </c>
      <c r="D157" s="93" t="inlineStr">
        <is>
          <t>Heerbrugg</t>
        </is>
      </c>
      <c r="E157" s="93" t="inlineStr">
        <is>
          <t>SG</t>
        </is>
      </c>
      <c r="F157" s="95" t="inlineStr">
        <is>
          <t>Verteidigung/Optronik</t>
        </is>
      </c>
      <c r="G157" s="95" t="inlineStr">
        <is>
          <t>Konzernweites Zentrum für Optronik, Laser und Systemintegration</t>
        </is>
      </c>
      <c r="H157" s="96" t="n"/>
      <c r="I157" s="93" t="inlineStr">
        <is>
          <t>CHF</t>
        </is>
      </c>
      <c r="J157" s="96">
        <f>IF(H157="","",H157*IF(I157="CHF",1,IF(I157="EUR",'Legende &amp; Kriterien'!$C$13,'Legende &amp; Kriterien'!$C$14)))</f>
        <v/>
      </c>
      <c r="K157" s="93">
        <f>IF(P157="Rohstoffhandel","— Handel —",IF(J157="","k.A.",IF(J157&gt;=5000,"A: &gt;5 Mrd.",IF(J157&gt;=3000,"B: 3-5 Mrd.",IF(J157&gt;=1000,"C: 1-3 Mrd.","D: 0.1-1 Mrd.")))))</f>
        <v/>
      </c>
      <c r="L157" s="93" t="inlineStr">
        <is>
          <t>k.A.</t>
        </is>
      </c>
      <c r="M157" s="96" t="n">
        <v>450</v>
      </c>
      <c r="N157" s="95" t="inlineStr">
        <is>
          <t>Safran S.A. (FR)</t>
        </is>
      </c>
      <c r="O157" s="93" t="inlineStr">
        <is>
          <t>geschätzt</t>
        </is>
      </c>
      <c r="P157" s="93" t="inlineStr">
        <is>
          <t>Konzern-HQ CH</t>
        </is>
      </c>
      <c r="Q157" s="95" t="inlineStr">
        <is>
          <t>DIVISIONS-HQ</t>
        </is>
      </c>
      <c r="R157" s="63" t="n"/>
      <c r="S157" s="63" t="n"/>
      <c r="T157" s="63" t="n"/>
      <c r="U157" s="64" t="n"/>
      <c r="V157" s="97" t="inlineStr">
        <is>
          <t>https://www.safran-group.com/countries/switzerland</t>
        </is>
      </c>
      <c r="W157" s="93" t="inlineStr">
        <is>
          <t>Safran Vectronix</t>
        </is>
      </c>
      <c r="X157" s="98" t="inlineStr">
        <is>
          <t>Stellen suchen</t>
        </is>
      </c>
    </row>
    <row r="158" ht="23.25" customHeight="1" s="57">
      <c r="A158" s="93" t="n">
        <v>157</v>
      </c>
      <c r="B158" s="94" t="inlineStr">
        <is>
          <t>3</t>
        </is>
      </c>
      <c r="C158" s="93" t="inlineStr">
        <is>
          <t>Winterthur Gas &amp; Diesel (WinGD)</t>
        </is>
      </c>
      <c r="D158" s="93" t="inlineStr">
        <is>
          <t>Winterthur</t>
        </is>
      </c>
      <c r="E158" s="93" t="inlineStr">
        <is>
          <t>ZH</t>
        </is>
      </c>
      <c r="F158" s="95" t="inlineStr">
        <is>
          <t>Schiffsantriebe</t>
        </is>
      </c>
      <c r="G158" s="95" t="inlineStr">
        <is>
          <t>Weltzentrale: Entwicklung und Lizenzierung von Zweitakt-Schiffsmotoren</t>
        </is>
      </c>
      <c r="H158" s="96" t="n"/>
      <c r="I158" s="93" t="inlineStr">
        <is>
          <t>CHF</t>
        </is>
      </c>
      <c r="J158" s="96">
        <f>IF(H158="","",H158*IF(I158="CHF",1,IF(I158="EUR",'Legende &amp; Kriterien'!$C$13,'Legende &amp; Kriterien'!$C$14)))</f>
        <v/>
      </c>
      <c r="K158" s="93">
        <f>IF(P158="Rohstoffhandel","— Handel —",IF(J158="","k.A.",IF(J158&gt;=5000,"A: &gt;5 Mrd.",IF(J158&gt;=3000,"B: 3-5 Mrd.",IF(J158&gt;=1000,"C: 1-3 Mrd.","D: 0.1-1 Mrd.")))))</f>
        <v/>
      </c>
      <c r="L158" s="93" t="inlineStr">
        <is>
          <t>k.A.</t>
        </is>
      </c>
      <c r="M158" s="96" t="n">
        <v>350</v>
      </c>
      <c r="N158" s="95" t="inlineStr">
        <is>
          <t>China State Shipbuilding (CN)</t>
        </is>
      </c>
      <c r="O158" s="93" t="inlineStr">
        <is>
          <t>geschätzt</t>
        </is>
      </c>
      <c r="P158" s="93" t="inlineStr">
        <is>
          <t>Konzern-HQ CH</t>
        </is>
      </c>
      <c r="Q158" s="95" t="inlineStr">
        <is>
          <t>GLOBAL-HQ</t>
        </is>
      </c>
      <c r="R158" s="63" t="n"/>
      <c r="S158" s="63" t="n"/>
      <c r="T158" s="63" t="n"/>
      <c r="U158" s="64" t="n"/>
      <c r="V158" s="97" t="inlineStr">
        <is>
          <t>https://www.wingd.com/</t>
        </is>
      </c>
      <c r="W158" s="93" t="inlineStr">
        <is>
          <t>Winterthur Gas &amp; Diesel (WinGD)</t>
        </is>
      </c>
      <c r="X158" s="98" t="inlineStr">
        <is>
          <t>Stellen suchen</t>
        </is>
      </c>
    </row>
    <row r="159" ht="23.25" customHeight="1" s="57">
      <c r="A159" s="93" t="n">
        <v>158</v>
      </c>
      <c r="B159" s="94" t="inlineStr">
        <is>
          <t>3</t>
        </is>
      </c>
      <c r="C159" s="93" t="inlineStr">
        <is>
          <t>Saurer</t>
        </is>
      </c>
      <c r="D159" s="93" t="inlineStr">
        <is>
          <t>Arbon</t>
        </is>
      </c>
      <c r="E159" s="93" t="inlineStr">
        <is>
          <t>TG</t>
        </is>
      </c>
      <c r="F159" s="95" t="inlineStr">
        <is>
          <t>Textilmaschinenbau</t>
        </is>
      </c>
      <c r="G159" s="95" t="inlineStr">
        <is>
          <t>Konzernzentrale Textilmaschinen: Führung, Technologie, weltweite Steuerung</t>
        </is>
      </c>
      <c r="H159" s="96" t="n"/>
      <c r="I159" s="93" t="inlineStr">
        <is>
          <t>CHF</t>
        </is>
      </c>
      <c r="J159" s="96">
        <f>IF(H159="","",H159*IF(I159="CHF",1,IF(I159="EUR",'Legende &amp; Kriterien'!$C$13,'Legende &amp; Kriterien'!$C$14)))</f>
        <v/>
      </c>
      <c r="K159" s="93">
        <f>IF(P159="Rohstoffhandel","— Handel —",IF(J159="","k.A.",IF(J159&gt;=5000,"A: &gt;5 Mrd.",IF(J159&gt;=3000,"B: 3-5 Mrd.",IF(J159&gt;=1000,"C: 1-3 Mrd.","D: 0.1-1 Mrd.")))))</f>
        <v/>
      </c>
      <c r="L159" s="93" t="inlineStr">
        <is>
          <t>k.A.</t>
        </is>
      </c>
      <c r="M159" s="96" t="n">
        <v>300</v>
      </c>
      <c r="N159" s="95" t="inlineStr">
        <is>
          <t>Jinsheng Group (CN)</t>
        </is>
      </c>
      <c r="O159" s="93" t="inlineStr">
        <is>
          <t>geschätzt</t>
        </is>
      </c>
      <c r="P159" s="93" t="inlineStr">
        <is>
          <t>Konzern-HQ CH</t>
        </is>
      </c>
      <c r="Q159" s="95" t="inlineStr">
        <is>
          <t>GLOBAL-HQ</t>
        </is>
      </c>
      <c r="R159" s="63" t="n"/>
      <c r="S159" s="63" t="n"/>
      <c r="T159" s="63" t="n"/>
      <c r="U159" s="64" t="n"/>
      <c r="V159" s="97" t="inlineStr">
        <is>
          <t>https://saurer.com/en/about-us</t>
        </is>
      </c>
      <c r="W159" s="93" t="inlineStr">
        <is>
          <t>Saurer</t>
        </is>
      </c>
      <c r="X159" s="98" t="inlineStr">
        <is>
          <t>Stellen suchen</t>
        </is>
      </c>
    </row>
    <row r="160" ht="23.25" customHeight="1" s="57">
      <c r="A160" s="93" t="n">
        <v>159</v>
      </c>
      <c r="B160" s="94" t="inlineStr">
        <is>
          <t>3</t>
        </is>
      </c>
      <c r="C160" s="93" t="inlineStr">
        <is>
          <t>Becton Dickinson (BD Switzerland)</t>
        </is>
      </c>
      <c r="D160" s="93" t="inlineStr">
        <is>
          <t>Eysins</t>
        </is>
      </c>
      <c r="E160" s="93" t="inlineStr">
        <is>
          <t>VD</t>
        </is>
      </c>
      <c r="F160" s="95" t="inlineStr">
        <is>
          <t>Medtech/Diagnostikgeräte</t>
        </is>
      </c>
      <c r="G160" s="95" t="inlineStr">
        <is>
          <t>EMEA-Zentrale für Medizintechnik, Diagnostik und Medikationsmanagement</t>
        </is>
      </c>
      <c r="H160" s="96" t="n"/>
      <c r="I160" s="93" t="inlineStr">
        <is>
          <t>CHF</t>
        </is>
      </c>
      <c r="J160" s="96">
        <f>IF(H160="","",H160*IF(I160="CHF",1,IF(I160="EUR",'Legende &amp; Kriterien'!$C$13,'Legende &amp; Kriterien'!$C$14)))</f>
        <v/>
      </c>
      <c r="K160" s="93">
        <f>IF(P160="Rohstoffhandel","— Handel —",IF(J160="","k.A.",IF(J160&gt;=5000,"A: &gt;5 Mrd.",IF(J160&gt;=3000,"B: 3-5 Mrd.",IF(J160&gt;=1000,"C: 1-3 Mrd.","D: 0.1-1 Mrd.")))))</f>
        <v/>
      </c>
      <c r="L160" s="93" t="inlineStr">
        <is>
          <t>k.A.</t>
        </is>
      </c>
      <c r="M160" s="96" t="n">
        <v>250</v>
      </c>
      <c r="N160" s="95" t="inlineStr">
        <is>
          <t>Becton Dickinson (US)</t>
        </is>
      </c>
      <c r="O160" s="93" t="inlineStr">
        <is>
          <t>geschätzt</t>
        </is>
      </c>
      <c r="P160" s="93" t="inlineStr">
        <is>
          <t>Konzern-HQ CH</t>
        </is>
      </c>
      <c r="Q160" s="95" t="inlineStr">
        <is>
          <t>EMEA-HQ</t>
        </is>
      </c>
      <c r="R160" s="63" t="n"/>
      <c r="S160" s="63" t="n"/>
      <c r="T160" s="63" t="n"/>
      <c r="U160" s="64" t="n"/>
      <c r="V160" s="97" t="inlineStr">
        <is>
          <t>https://www.bd.com/</t>
        </is>
      </c>
      <c r="W160" s="93" t="inlineStr">
        <is>
          <t>Becton Dickinson (BD Switzerland)</t>
        </is>
      </c>
      <c r="X160" s="98" t="inlineStr">
        <is>
          <t>Stellen suchen</t>
        </is>
      </c>
    </row>
    <row r="161" ht="15" customHeight="1" s="57">
      <c r="A161" s="93" t="n">
        <v>160</v>
      </c>
      <c r="B161" s="94" t="inlineStr">
        <is>
          <t>3</t>
        </is>
      </c>
      <c r="C161" s="93" t="inlineStr">
        <is>
          <t>Intuitive Surgical</t>
        </is>
      </c>
      <c r="D161" s="93" t="inlineStr">
        <is>
          <t>Aubonne</t>
        </is>
      </c>
      <c r="E161" s="93" t="inlineStr">
        <is>
          <t>VD</t>
        </is>
      </c>
      <c r="F161" s="95" t="inlineStr">
        <is>
          <t>Medtech (Roboterchirurgie)</t>
        </is>
      </c>
      <c r="G161" s="95" t="inlineStr">
        <is>
          <t>Europa-Hauptsitz mit F&amp;E, Training, Regulatory, Marketing</t>
        </is>
      </c>
      <c r="H161" s="96" t="n"/>
      <c r="I161" s="93" t="inlineStr">
        <is>
          <t>CHF</t>
        </is>
      </c>
      <c r="J161" s="96">
        <f>IF(H161="","",H161*IF(I161="CHF",1,IF(I161="EUR",'Legende &amp; Kriterien'!$C$13,'Legende &amp; Kriterien'!$C$14)))</f>
        <v/>
      </c>
      <c r="K161" s="93">
        <f>IF(P161="Rohstoffhandel","— Handel —",IF(J161="","k.A.",IF(J161&gt;=5000,"A: &gt;5 Mrd.",IF(J161&gt;=3000,"B: 3-5 Mrd.",IF(J161&gt;=1000,"C: 1-3 Mrd.","D: 0.1-1 Mrd.")))))</f>
        <v/>
      </c>
      <c r="L161" s="93" t="inlineStr">
        <is>
          <t>k.A.</t>
        </is>
      </c>
      <c r="M161" s="96" t="n">
        <v>250</v>
      </c>
      <c r="N161" s="95" t="inlineStr">
        <is>
          <t>Intuitive Surgical (US)</t>
        </is>
      </c>
      <c r="O161" s="93" t="inlineStr">
        <is>
          <t>geschätzt</t>
        </is>
      </c>
      <c r="P161" s="93" t="inlineStr">
        <is>
          <t>Konzern-HQ CH</t>
        </is>
      </c>
      <c r="Q161" s="95" t="inlineStr">
        <is>
          <t>EMEA-HQ</t>
        </is>
      </c>
      <c r="R161" s="63" t="n"/>
      <c r="S161" s="63" t="n"/>
      <c r="T161" s="63" t="n"/>
      <c r="U161" s="64" t="n"/>
      <c r="V161" s="97" t="inlineStr">
        <is>
          <t>https://www.intuitive.com/</t>
        </is>
      </c>
      <c r="W161" s="93" t="inlineStr">
        <is>
          <t>Intuitive Surgical</t>
        </is>
      </c>
      <c r="X161" s="98" t="inlineStr">
        <is>
          <t>Stellen suchen</t>
        </is>
      </c>
    </row>
    <row r="162" ht="23.25" customHeight="1" s="57">
      <c r="A162" s="93" t="n">
        <v>161</v>
      </c>
      <c r="B162" s="94" t="inlineStr">
        <is>
          <t>3</t>
        </is>
      </c>
      <c r="C162" s="93" t="inlineStr">
        <is>
          <t>Beckman Coulter International</t>
        </is>
      </c>
      <c r="D162" s="93" t="inlineStr">
        <is>
          <t>Nyon</t>
        </is>
      </c>
      <c r="E162" s="93" t="inlineStr">
        <is>
          <t>VD</t>
        </is>
      </c>
      <c r="F162" s="95" t="inlineStr">
        <is>
          <t>Labor-/Diagnostikinstrumente</t>
        </is>
      </c>
      <c r="G162" s="95" t="inlineStr">
        <is>
          <t>Internationale Zentrale für Labordiagnostik- und Life-Science-Systeme</t>
        </is>
      </c>
      <c r="H162" s="96" t="n"/>
      <c r="I162" s="93" t="inlineStr">
        <is>
          <t>CHF</t>
        </is>
      </c>
      <c r="J162" s="96">
        <f>IF(H162="","",H162*IF(I162="CHF",1,IF(I162="EUR",'Legende &amp; Kriterien'!$C$13,'Legende &amp; Kriterien'!$C$14)))</f>
        <v/>
      </c>
      <c r="K162" s="93">
        <f>IF(P162="Rohstoffhandel","— Handel —",IF(J162="","k.A.",IF(J162&gt;=5000,"A: &gt;5 Mrd.",IF(J162&gt;=3000,"B: 3-5 Mrd.",IF(J162&gt;=1000,"C: 1-3 Mrd.","D: 0.1-1 Mrd.")))))</f>
        <v/>
      </c>
      <c r="L162" s="93" t="inlineStr">
        <is>
          <t>k.A.</t>
        </is>
      </c>
      <c r="M162" s="96" t="n">
        <v>250</v>
      </c>
      <c r="N162" s="95" t="inlineStr">
        <is>
          <t>Danaher Corp. (US)</t>
        </is>
      </c>
      <c r="O162" s="93" t="inlineStr">
        <is>
          <t>geschätzt</t>
        </is>
      </c>
      <c r="P162" s="93" t="inlineStr">
        <is>
          <t>Konzern-HQ CH</t>
        </is>
      </c>
      <c r="Q162" s="95" t="inlineStr">
        <is>
          <t>EMEA-HQ</t>
        </is>
      </c>
      <c r="R162" s="63" t="n"/>
      <c r="S162" s="63" t="n"/>
      <c r="T162" s="63" t="n"/>
      <c r="U162" s="64" t="n"/>
      <c r="V162" s="97" t="inlineStr">
        <is>
          <t>https://www.beckmancoulter.com/</t>
        </is>
      </c>
      <c r="W162" s="93" t="inlineStr">
        <is>
          <t>Beckman Coulter International</t>
        </is>
      </c>
      <c r="X162" s="98" t="inlineStr">
        <is>
          <t>Stellen suchen</t>
        </is>
      </c>
    </row>
    <row r="163" ht="23.25" customHeight="1" s="57">
      <c r="A163" s="93" t="n">
        <v>162</v>
      </c>
      <c r="B163" s="94" t="inlineStr">
        <is>
          <t>3</t>
        </is>
      </c>
      <c r="C163" s="93" t="inlineStr">
        <is>
          <t>Bio-Rad Laboratories</t>
        </is>
      </c>
      <c r="D163" s="93" t="inlineStr">
        <is>
          <t>Cressier</t>
        </is>
      </c>
      <c r="E163" s="93" t="inlineStr">
        <is>
          <t>FR</t>
        </is>
      </c>
      <c r="F163" s="95" t="inlineStr">
        <is>
          <t>Diagnostikgeräte</t>
        </is>
      </c>
      <c r="G163" s="95" t="inlineStr">
        <is>
          <t>Produktion Immunhämatologie-Systeme und Diagnostikreagenzien (ex DiaMed)</t>
        </is>
      </c>
      <c r="H163" s="96" t="n"/>
      <c r="I163" s="93" t="inlineStr">
        <is>
          <t>CHF</t>
        </is>
      </c>
      <c r="J163" s="96">
        <f>IF(H163="","",H163*IF(I163="CHF",1,IF(I163="EUR",'Legende &amp; Kriterien'!$C$13,'Legende &amp; Kriterien'!$C$14)))</f>
        <v/>
      </c>
      <c r="K163" s="93">
        <f>IF(P163="Rohstoffhandel","— Handel —",IF(J163="","k.A.",IF(J163&gt;=5000,"A: &gt;5 Mrd.",IF(J163&gt;=3000,"B: 3-5 Mrd.",IF(J163&gt;=1000,"C: 1-3 Mrd.","D: 0.1-1 Mrd.")))))</f>
        <v/>
      </c>
      <c r="L163" s="93" t="inlineStr">
        <is>
          <t>k.A.</t>
        </is>
      </c>
      <c r="M163" s="96" t="n">
        <v>250</v>
      </c>
      <c r="N163" s="95" t="inlineStr">
        <is>
          <t>Bio-Rad Laboratories (US)</t>
        </is>
      </c>
      <c r="O163" s="93" t="inlineStr">
        <is>
          <t>geschätzt</t>
        </is>
      </c>
      <c r="P163" s="93" t="inlineStr">
        <is>
          <t>Konzern-HQ CH</t>
        </is>
      </c>
      <c r="Q163" s="95" t="inlineStr">
        <is>
          <t>DIVISIONS-HQ</t>
        </is>
      </c>
      <c r="R163" s="63" t="n"/>
      <c r="S163" s="63" t="n"/>
      <c r="T163" s="63" t="n"/>
      <c r="U163" s="64" t="n"/>
      <c r="V163" s="97" t="inlineStr">
        <is>
          <t>https://www.bio-rad.com/</t>
        </is>
      </c>
      <c r="W163" s="93" t="inlineStr">
        <is>
          <t>Bio-Rad Laboratories</t>
        </is>
      </c>
      <c r="X163" s="98" t="inlineStr">
        <is>
          <t>Stellen suchen</t>
        </is>
      </c>
    </row>
    <row r="164" ht="23.25" customHeight="1" s="57">
      <c r="A164" s="93" t="n">
        <v>163</v>
      </c>
      <c r="B164" s="94" t="inlineStr">
        <is>
          <t>3</t>
        </is>
      </c>
      <c r="C164" s="93" t="inlineStr">
        <is>
          <t>Edwards Lifesciences</t>
        </is>
      </c>
      <c r="D164" s="93" t="inlineStr">
        <is>
          <t>Nyon</t>
        </is>
      </c>
      <c r="E164" s="93" t="inlineStr">
        <is>
          <t>VD</t>
        </is>
      </c>
      <c r="F164" s="95" t="inlineStr">
        <is>
          <t>Medtech (Herzklappen)</t>
        </is>
      </c>
      <c r="G164" s="95" t="inlineStr">
        <is>
          <t>Regionalzentrale Europa/Lateinamerika/Kanada plus Ärzte-Trainingszentrum</t>
        </is>
      </c>
      <c r="H164" s="96" t="n"/>
      <c r="I164" s="93" t="inlineStr">
        <is>
          <t>CHF</t>
        </is>
      </c>
      <c r="J164" s="96">
        <f>IF(H164="","",H164*IF(I164="CHF",1,IF(I164="EUR",'Legende &amp; Kriterien'!$C$13,'Legende &amp; Kriterien'!$C$14)))</f>
        <v/>
      </c>
      <c r="K164" s="93">
        <f>IF(P164="Rohstoffhandel","— Handel —",IF(J164="","k.A.",IF(J164&gt;=5000,"A: &gt;5 Mrd.",IF(J164&gt;=3000,"B: 3-5 Mrd.",IF(J164&gt;=1000,"C: 1-3 Mrd.","D: 0.1-1 Mrd.")))))</f>
        <v/>
      </c>
      <c r="L164" s="93" t="inlineStr">
        <is>
          <t>k.A.</t>
        </is>
      </c>
      <c r="M164" s="96" t="n">
        <v>200</v>
      </c>
      <c r="N164" s="95" t="inlineStr">
        <is>
          <t>Edwards Lifesciences (US)</t>
        </is>
      </c>
      <c r="O164" s="93" t="inlineStr">
        <is>
          <t>geschätzt</t>
        </is>
      </c>
      <c r="P164" s="93" t="inlineStr">
        <is>
          <t>Konzern-HQ CH</t>
        </is>
      </c>
      <c r="Q164" s="95" t="inlineStr">
        <is>
          <t>EMEA-HQ</t>
        </is>
      </c>
      <c r="R164" s="63" t="n"/>
      <c r="S164" s="63" t="n"/>
      <c r="T164" s="63" t="n"/>
      <c r="U164" s="64" t="n"/>
      <c r="V164" s="97" t="inlineStr">
        <is>
          <t>https://www.edwards.com/careers/locations/nyon</t>
        </is>
      </c>
      <c r="W164" s="93" t="inlineStr">
        <is>
          <t>Edwards Lifesciences</t>
        </is>
      </c>
      <c r="X164" s="98" t="inlineStr">
        <is>
          <t>Stellen suchen</t>
        </is>
      </c>
    </row>
    <row r="165" ht="15" customHeight="1" s="57">
      <c r="A165" s="93" t="n">
        <v>164</v>
      </c>
      <c r="B165" s="94" t="inlineStr">
        <is>
          <t>3</t>
        </is>
      </c>
      <c r="C165" s="93" t="inlineStr">
        <is>
          <t>Garrett Motion</t>
        </is>
      </c>
      <c r="D165" s="93" t="inlineStr">
        <is>
          <t>Rolle</t>
        </is>
      </c>
      <c r="E165" s="93" t="inlineStr">
        <is>
          <t>VD</t>
        </is>
      </c>
      <c r="F165" s="95" t="inlineStr">
        <is>
          <t>Antriebstechnik/Turbolader</t>
        </is>
      </c>
      <c r="G165" s="95" t="inlineStr">
        <is>
          <t>Weltzentrale: Konzernführung, Strategie, Technologie für Turbolader</t>
        </is>
      </c>
      <c r="H165" s="96" t="n"/>
      <c r="I165" s="93" t="inlineStr">
        <is>
          <t>CHF</t>
        </is>
      </c>
      <c r="J165" s="96">
        <f>IF(H165="","",H165*IF(I165="CHF",1,IF(I165="EUR",'Legende &amp; Kriterien'!$C$13,'Legende &amp; Kriterien'!$C$14)))</f>
        <v/>
      </c>
      <c r="K165" s="93">
        <f>IF(P165="Rohstoffhandel","— Handel —",IF(J165="","k.A.",IF(J165&gt;=5000,"A: &gt;5 Mrd.",IF(J165&gt;=3000,"B: 3-5 Mrd.",IF(J165&gt;=1000,"C: 1-3 Mrd.","D: 0.1-1 Mrd.")))))</f>
        <v/>
      </c>
      <c r="L165" s="93" t="inlineStr">
        <is>
          <t>k.A.</t>
        </is>
      </c>
      <c r="M165" s="96" t="n">
        <v>200</v>
      </c>
      <c r="N165" s="95" t="inlineStr">
        <is>
          <t>Garrett Motion Inc. (US-kotiert)</t>
        </is>
      </c>
      <c r="O165" s="93" t="inlineStr">
        <is>
          <t>geschätzt</t>
        </is>
      </c>
      <c r="P165" s="93" t="inlineStr">
        <is>
          <t>Konzern-HQ CH</t>
        </is>
      </c>
      <c r="Q165" s="95" t="inlineStr">
        <is>
          <t>GLOBAL-HQ</t>
        </is>
      </c>
      <c r="R165" s="63" t="n"/>
      <c r="S165" s="63" t="n"/>
      <c r="T165" s="63" t="n"/>
      <c r="U165" s="64" t="n"/>
      <c r="V165" s="97" t="inlineStr">
        <is>
          <t>https://www.garrettmotion.com/</t>
        </is>
      </c>
      <c r="W165" s="93" t="inlineStr">
        <is>
          <t>Garrett Motion</t>
        </is>
      </c>
      <c r="X165" s="98" t="inlineStr">
        <is>
          <t>Stellen suchen</t>
        </is>
      </c>
    </row>
    <row r="166" ht="15" customHeight="1" s="57">
      <c r="A166" s="93" t="n">
        <v>165</v>
      </c>
      <c r="B166" s="94" t="inlineStr">
        <is>
          <t>3</t>
        </is>
      </c>
      <c r="C166" s="93" t="inlineStr">
        <is>
          <t>Archroma</t>
        </is>
      </c>
      <c r="D166" s="93" t="inlineStr">
        <is>
          <t>Pratteln</t>
        </is>
      </c>
      <c r="E166" s="93" t="inlineStr">
        <is>
          <t>BL</t>
        </is>
      </c>
      <c r="F166" s="95" t="inlineStr">
        <is>
          <t>Spezialchemie</t>
        </is>
      </c>
      <c r="G166" s="95" t="inlineStr">
        <is>
          <t>Weltzentrale plus TechCenter Reinach mit vier Kompetenzzentren</t>
        </is>
      </c>
      <c r="H166" s="96" t="n"/>
      <c r="I166" s="93" t="inlineStr">
        <is>
          <t>CHF</t>
        </is>
      </c>
      <c r="J166" s="96">
        <f>IF(H166="","",H166*IF(I166="CHF",1,IF(I166="EUR",'Legende &amp; Kriterien'!$C$13,'Legende &amp; Kriterien'!$C$14)))</f>
        <v/>
      </c>
      <c r="K166" s="93">
        <f>IF(P166="Rohstoffhandel","— Handel —",IF(J166="","k.A.",IF(J166&gt;=5000,"A: &gt;5 Mrd.",IF(J166&gt;=3000,"B: 3-5 Mrd.",IF(J166&gt;=1000,"C: 1-3 Mrd.","D: 0.1-1 Mrd.")))))</f>
        <v/>
      </c>
      <c r="L166" s="93" t="inlineStr">
        <is>
          <t>k.A.</t>
        </is>
      </c>
      <c r="M166" s="96" t="n">
        <v>200</v>
      </c>
      <c r="N166" s="95" t="inlineStr">
        <is>
          <t>SK Capital Partners (US)</t>
        </is>
      </c>
      <c r="O166" s="93" t="inlineStr">
        <is>
          <t>geschätzt</t>
        </is>
      </c>
      <c r="P166" s="93" t="inlineStr">
        <is>
          <t>Konzern-HQ CH</t>
        </is>
      </c>
      <c r="Q166" s="95" t="inlineStr">
        <is>
          <t>GLOBAL-HQ</t>
        </is>
      </c>
      <c r="R166" s="63" t="n"/>
      <c r="S166" s="63" t="n"/>
      <c r="T166" s="63" t="n"/>
      <c r="U166" s="64" t="n"/>
      <c r="V166" s="97" t="inlineStr">
        <is>
          <t>https://www.archroma.com/about</t>
        </is>
      </c>
      <c r="W166" s="93" t="inlineStr">
        <is>
          <t>Archroma</t>
        </is>
      </c>
      <c r="X166" s="98" t="inlineStr">
        <is>
          <t>Stellen suchen</t>
        </is>
      </c>
    </row>
    <row r="167" ht="15" customHeight="1" s="57">
      <c r="A167" s="93" t="n">
        <v>166</v>
      </c>
      <c r="B167" s="94" t="inlineStr">
        <is>
          <t>3</t>
        </is>
      </c>
      <c r="C167" s="93" t="inlineStr">
        <is>
          <t>Zimmer Biomet EMEA</t>
        </is>
      </c>
      <c r="D167" s="93" t="inlineStr">
        <is>
          <t>Zug</t>
        </is>
      </c>
      <c r="E167" s="93" t="inlineStr">
        <is>
          <t>ZG</t>
        </is>
      </c>
      <c r="F167" s="95" t="inlineStr">
        <is>
          <t>Medtech (Orthopädie)</t>
        </is>
      </c>
      <c r="G167" s="95" t="inlineStr">
        <is>
          <t>EMEA-Zentrale mit Führungsfunktionen, 2024 aus Winterthur verlegt</t>
        </is>
      </c>
      <c r="H167" s="96" t="n"/>
      <c r="I167" s="93" t="inlineStr">
        <is>
          <t>CHF</t>
        </is>
      </c>
      <c r="J167" s="96">
        <f>IF(H167="","",H167*IF(I167="CHF",1,IF(I167="EUR",'Legende &amp; Kriterien'!$C$13,'Legende &amp; Kriterien'!$C$14)))</f>
        <v/>
      </c>
      <c r="K167" s="93">
        <f>IF(P167="Rohstoffhandel","— Handel —",IF(J167="","k.A.",IF(J167&gt;=5000,"A: &gt;5 Mrd.",IF(J167&gt;=3000,"B: 3-5 Mrd.",IF(J167&gt;=1000,"C: 1-3 Mrd.","D: 0.1-1 Mrd.")))))</f>
        <v/>
      </c>
      <c r="L167" s="93" t="inlineStr">
        <is>
          <t>k.A.</t>
        </is>
      </c>
      <c r="M167" s="96" t="n">
        <v>130</v>
      </c>
      <c r="N167" s="95" t="inlineStr">
        <is>
          <t>Zimmer Biomet (US)</t>
        </is>
      </c>
      <c r="O167" s="93" t="inlineStr">
        <is>
          <t>geschätzt</t>
        </is>
      </c>
      <c r="P167" s="93" t="inlineStr">
        <is>
          <t>Konzern-HQ CH</t>
        </is>
      </c>
      <c r="Q167" s="95" t="inlineStr">
        <is>
          <t>EMEA-HQ</t>
        </is>
      </c>
      <c r="R167" s="63" t="n"/>
      <c r="S167" s="63" t="n"/>
      <c r="T167" s="63" t="n"/>
      <c r="U167" s="64" t="n"/>
      <c r="V167" s="97" t="inlineStr">
        <is>
          <t>https://www.zimmerbiomet.com/</t>
        </is>
      </c>
      <c r="W167" s="93" t="inlineStr">
        <is>
          <t>Zimmer Biomet EMEA</t>
        </is>
      </c>
      <c r="X167" s="98" t="inlineStr">
        <is>
          <t>Stellen suchen</t>
        </is>
      </c>
    </row>
    <row r="168" ht="15" customHeight="1" s="57">
      <c r="A168" s="93" t="n">
        <v>167</v>
      </c>
      <c r="B168" s="94" t="inlineStr">
        <is>
          <t>3</t>
        </is>
      </c>
      <c r="C168" s="93" t="inlineStr">
        <is>
          <t>CAMLOG Biotechnologies</t>
        </is>
      </c>
      <c r="D168" s="93" t="inlineStr">
        <is>
          <t>Basel</t>
        </is>
      </c>
      <c r="E168" s="93" t="inlineStr">
        <is>
          <t>BS</t>
        </is>
      </c>
      <c r="F168" s="95" t="inlineStr">
        <is>
          <t>Dental (Implantologie)</t>
        </is>
      </c>
      <c r="G168" s="95" t="inlineStr">
        <is>
          <t>Konzernsitz und F&amp;E-Zentrum für Dentalimplantatsysteme</t>
        </is>
      </c>
      <c r="H168" s="96" t="n"/>
      <c r="I168" s="93" t="inlineStr">
        <is>
          <t>CHF</t>
        </is>
      </c>
      <c r="J168" s="96">
        <f>IF(H168="","",H168*IF(I168="CHF",1,IF(I168="EUR",'Legende &amp; Kriterien'!$C$13,'Legende &amp; Kriterien'!$C$14)))</f>
        <v/>
      </c>
      <c r="K168" s="93">
        <f>IF(P168="Rohstoffhandel","— Handel —",IF(J168="","k.A.",IF(J168&gt;=5000,"A: &gt;5 Mrd.",IF(J168&gt;=3000,"B: 3-5 Mrd.",IF(J168&gt;=1000,"C: 1-3 Mrd.","D: 0.1-1 Mrd.")))))</f>
        <v/>
      </c>
      <c r="L168" s="93" t="inlineStr">
        <is>
          <t>k.A.</t>
        </is>
      </c>
      <c r="M168" s="96" t="n">
        <v>100</v>
      </c>
      <c r="N168" s="95" t="inlineStr">
        <is>
          <t>Henry Schein Inc. (US)</t>
        </is>
      </c>
      <c r="O168" s="93" t="inlineStr">
        <is>
          <t>geschätzt</t>
        </is>
      </c>
      <c r="P168" s="93" t="inlineStr">
        <is>
          <t>Konzern-HQ CH</t>
        </is>
      </c>
      <c r="Q168" s="95" t="inlineStr">
        <is>
          <t>GLOBAL-HQ</t>
        </is>
      </c>
      <c r="R168" s="63" t="n"/>
      <c r="S168" s="63" t="n"/>
      <c r="T168" s="63" t="n"/>
      <c r="U168" s="64" t="n"/>
      <c r="V168" s="97" t="inlineStr">
        <is>
          <t>https://www.camlog.com/en/company</t>
        </is>
      </c>
      <c r="W168" s="93" t="inlineStr">
        <is>
          <t>CAMLOG Biotechnologies</t>
        </is>
      </c>
      <c r="X168" s="98" t="inlineStr">
        <is>
          <t>Stellen suchen</t>
        </is>
      </c>
    </row>
    <row r="169" ht="23.25" customHeight="1" s="57">
      <c r="A169" s="59" t="n">
        <v>168</v>
      </c>
      <c r="B169" s="60" t="inlineStr">
        <is>
          <t>1</t>
        </is>
      </c>
      <c r="C169" s="59" t="inlineStr">
        <is>
          <t>HOERBIGER Holding</t>
        </is>
      </c>
      <c r="D169" s="59" t="inlineStr">
        <is>
          <t>Zug</t>
        </is>
      </c>
      <c r="E169" s="59" t="inlineStr">
        <is>
          <t>ZG</t>
        </is>
      </c>
      <c r="F169" s="61" t="inlineStr">
        <is>
          <t>Kompressor-/Antriebstechnik</t>
        </is>
      </c>
      <c r="G169" s="61" t="inlineStr">
        <is>
          <t>Konzernzentrale: Führung von fünf Divisionen in 43 Ländern</t>
        </is>
      </c>
      <c r="H169" s="62" t="n"/>
      <c r="I169" s="59" t="inlineStr">
        <is>
          <t>CHF</t>
        </is>
      </c>
      <c r="J169" s="62">
        <f>IF(H169="","",H169*IF(I169="CHF",1,IF(I169="EUR",'Legende &amp; Kriterien'!$C$13,'Legende &amp; Kriterien'!$C$14)))</f>
        <v/>
      </c>
      <c r="K169" s="59">
        <f>IF(P169="Rohstoffhandel","— Handel —",IF(J169="","k.A.",IF(J169&gt;=5000,"A: &gt;5 Mrd.",IF(J169&gt;=3000,"B: 3-5 Mrd.",IF(J169&gt;=1000,"C: 1-3 Mrd.","D: 0.1-1 Mrd.")))))</f>
        <v/>
      </c>
      <c r="L169" s="59" t="inlineStr">
        <is>
          <t>k.A.</t>
        </is>
      </c>
      <c r="M169" s="62" t="n">
        <v>100</v>
      </c>
      <c r="N169" s="61" t="inlineStr">
        <is>
          <t>HOERBIGER-Gruppe (AT-Ursprung)</t>
        </is>
      </c>
      <c r="O169" s="59" t="inlineStr">
        <is>
          <t>geschätzt</t>
        </is>
      </c>
      <c r="P169" s="59" t="inlineStr">
        <is>
          <t>Konzern-HQ CH</t>
        </is>
      </c>
      <c r="Q169" s="61" t="inlineStr">
        <is>
          <t>GLOBAL-HQ</t>
        </is>
      </c>
      <c r="R169" s="63" t="n"/>
      <c r="S169" s="63" t="n"/>
      <c r="T169" s="63" t="n"/>
      <c r="U169" s="64" t="n"/>
      <c r="V169" s="65" t="inlineStr">
        <is>
          <t>https://www.hoerbiger.com/</t>
        </is>
      </c>
      <c r="W169" s="59" t="inlineStr">
        <is>
          <t>HOERBIGER Holding</t>
        </is>
      </c>
      <c r="X169" s="66" t="inlineStr">
        <is>
          <t>Stellen suchen</t>
        </is>
      </c>
      <c r="Y169" s="68" t="inlineStr">
        <is>
          <t>https://careers.hoerbiger.com/ — nicht abrufbar ohne Rendern, SuccessFactors</t>
        </is>
      </c>
    </row>
    <row r="170" ht="15" customHeight="1" s="57">
      <c r="A170" s="93" t="n">
        <v>169</v>
      </c>
      <c r="B170" s="94" t="inlineStr">
        <is>
          <t>3</t>
        </is>
      </c>
      <c r="C170" s="93" t="inlineStr">
        <is>
          <t>Parker Hannifin EMEA</t>
        </is>
      </c>
      <c r="D170" s="93" t="inlineStr">
        <is>
          <t>Etoy</t>
        </is>
      </c>
      <c r="E170" s="93" t="inlineStr">
        <is>
          <t>VD</t>
        </is>
      </c>
      <c r="F170" s="95" t="inlineStr">
        <is>
          <t>Antriebs-/Fluidtechnik</t>
        </is>
      </c>
      <c r="G170" s="95" t="inlineStr">
        <is>
          <t>EMEA-Zentrale: Management und Zentralfunktionen</t>
        </is>
      </c>
      <c r="H170" s="96" t="n"/>
      <c r="I170" s="93" t="inlineStr">
        <is>
          <t>CHF</t>
        </is>
      </c>
      <c r="J170" s="96">
        <f>IF(H170="","",H170*IF(I170="CHF",1,IF(I170="EUR",'Legende &amp; Kriterien'!$C$13,'Legende &amp; Kriterien'!$C$14)))</f>
        <v/>
      </c>
      <c r="K170" s="93">
        <f>IF(P170="Rohstoffhandel","— Handel —",IF(J170="","k.A.",IF(J170&gt;=5000,"A: &gt;5 Mrd.",IF(J170&gt;=3000,"B: 3-5 Mrd.",IF(J170&gt;=1000,"C: 1-3 Mrd.","D: 0.1-1 Mrd.")))))</f>
        <v/>
      </c>
      <c r="L170" s="93" t="inlineStr">
        <is>
          <t>k.A.</t>
        </is>
      </c>
      <c r="M170" s="96" t="n">
        <v>100</v>
      </c>
      <c r="N170" s="95" t="inlineStr">
        <is>
          <t>Parker Hannifin (US)</t>
        </is>
      </c>
      <c r="O170" s="93" t="inlineStr">
        <is>
          <t>geschätzt</t>
        </is>
      </c>
      <c r="P170" s="93" t="inlineStr">
        <is>
          <t>Konzern-HQ CH</t>
        </is>
      </c>
      <c r="Q170" s="95" t="inlineStr">
        <is>
          <t>EMEA-HQ</t>
        </is>
      </c>
      <c r="R170" s="63" t="n"/>
      <c r="S170" s="63" t="n"/>
      <c r="T170" s="63" t="n"/>
      <c r="U170" s="64" t="n"/>
      <c r="V170" s="97" t="inlineStr">
        <is>
          <t>https://www.parker.com/</t>
        </is>
      </c>
      <c r="W170" s="93" t="inlineStr">
        <is>
          <t>Parker Hannifin EMEA</t>
        </is>
      </c>
      <c r="X170" s="98" t="inlineStr">
        <is>
          <t>Stellen suchen</t>
        </is>
      </c>
    </row>
    <row r="171" ht="23.25" customHeight="1" s="57">
      <c r="A171" s="93" t="n">
        <v>170</v>
      </c>
      <c r="B171" s="94" t="inlineStr">
        <is>
          <t>3</t>
        </is>
      </c>
      <c r="C171" s="93" t="inlineStr">
        <is>
          <t>Johnson Controls EMEALA</t>
        </is>
      </c>
      <c r="D171" s="93" t="inlineStr">
        <is>
          <t>Neuhausen a. Rhf.</t>
        </is>
      </c>
      <c r="E171" s="93" t="inlineStr">
        <is>
          <t>SH</t>
        </is>
      </c>
      <c r="F171" s="95" t="inlineStr">
        <is>
          <t>Gebäudetechnik/Brandschutz</t>
        </is>
      </c>
      <c r="G171" s="95" t="inlineStr">
        <is>
          <t>EMEALA-Leitung: Finanzen, HR, Marketing, Strategie, Competence Centers</t>
        </is>
      </c>
      <c r="H171" s="96" t="n"/>
      <c r="I171" s="93" t="inlineStr">
        <is>
          <t>CHF</t>
        </is>
      </c>
      <c r="J171" s="96">
        <f>IF(H171="","",H171*IF(I171="CHF",1,IF(I171="EUR",'Legende &amp; Kriterien'!$C$13,'Legende &amp; Kriterien'!$C$14)))</f>
        <v/>
      </c>
      <c r="K171" s="93">
        <f>IF(P171="Rohstoffhandel","— Handel —",IF(J171="","k.A.",IF(J171&gt;=5000,"A: &gt;5 Mrd.",IF(J171&gt;=3000,"B: 3-5 Mrd.",IF(J171&gt;=1000,"C: 1-3 Mrd.","D: 0.1-1 Mrd.")))))</f>
        <v/>
      </c>
      <c r="L171" s="93" t="inlineStr">
        <is>
          <t>k.A.</t>
        </is>
      </c>
      <c r="M171" s="96" t="n">
        <v>100</v>
      </c>
      <c r="N171" s="95" t="inlineStr">
        <is>
          <t>Johnson Controls Intl. (IE/US)</t>
        </is>
      </c>
      <c r="O171" s="93" t="inlineStr">
        <is>
          <t>geschätzt</t>
        </is>
      </c>
      <c r="P171" s="93" t="inlineStr">
        <is>
          <t>Konzern-HQ CH</t>
        </is>
      </c>
      <c r="Q171" s="95" t="inlineStr">
        <is>
          <t>EMEA-HQ</t>
        </is>
      </c>
      <c r="R171" s="63" t="n"/>
      <c r="S171" s="63" t="n"/>
      <c r="T171" s="63" t="n"/>
      <c r="U171" s="64" t="n"/>
      <c r="V171" s="97" t="inlineStr">
        <is>
          <t>https://www.schaffhausen-area.ch/maker-story/johnson-controls</t>
        </is>
      </c>
      <c r="W171" s="93" t="inlineStr">
        <is>
          <t>Johnson Controls EMEALA</t>
        </is>
      </c>
      <c r="X171" s="98" t="inlineStr">
        <is>
          <t>Stellen suchen</t>
        </is>
      </c>
    </row>
    <row r="172" ht="15" customHeight="1" s="57">
      <c r="A172" s="93" t="n">
        <v>171</v>
      </c>
      <c r="B172" s="94" t="inlineStr">
        <is>
          <t>3</t>
        </is>
      </c>
      <c r="C172" s="93" t="inlineStr">
        <is>
          <t>Resideo Technologies EMEA</t>
        </is>
      </c>
      <c r="D172" s="93" t="inlineStr">
        <is>
          <t>Rolle</t>
        </is>
      </c>
      <c r="E172" s="93" t="inlineStr">
        <is>
          <t>VD</t>
        </is>
      </c>
      <c r="F172" s="95" t="inlineStr">
        <is>
          <t>Gebäudeelektronik/Sicherheit</t>
        </is>
      </c>
      <c r="G172" s="95" t="inlineStr">
        <is>
          <t>EMEA-Leitung Products &amp; Solutions für 25 Länder</t>
        </is>
      </c>
      <c r="H172" s="96" t="n"/>
      <c r="I172" s="93" t="inlineStr">
        <is>
          <t>CHF</t>
        </is>
      </c>
      <c r="J172" s="96">
        <f>IF(H172="","",H172*IF(I172="CHF",1,IF(I172="EUR",'Legende &amp; Kriterien'!$C$13,'Legende &amp; Kriterien'!$C$14)))</f>
        <v/>
      </c>
      <c r="K172" s="93">
        <f>IF(P172="Rohstoffhandel","— Handel —",IF(J172="","k.A.",IF(J172&gt;=5000,"A: &gt;5 Mrd.",IF(J172&gt;=3000,"B: 3-5 Mrd.",IF(J172&gt;=1000,"C: 1-3 Mrd.","D: 0.1-1 Mrd.")))))</f>
        <v/>
      </c>
      <c r="L172" s="93" t="inlineStr">
        <is>
          <t>k.A.</t>
        </is>
      </c>
      <c r="M172" s="96" t="n">
        <v>60</v>
      </c>
      <c r="N172" s="95" t="inlineStr">
        <is>
          <t>Resideo Technologies (US)</t>
        </is>
      </c>
      <c r="O172" s="93" t="inlineStr">
        <is>
          <t>geschätzt</t>
        </is>
      </c>
      <c r="P172" s="93" t="inlineStr">
        <is>
          <t>Konzern-HQ CH</t>
        </is>
      </c>
      <c r="Q172" s="95" t="inlineStr">
        <is>
          <t>EMEA-HQ</t>
        </is>
      </c>
      <c r="R172" s="63" t="n"/>
      <c r="S172" s="63" t="n"/>
      <c r="T172" s="63" t="n"/>
      <c r="U172" s="64" t="n"/>
      <c r="V172" s="97" t="inlineStr">
        <is>
          <t>https://www.resideo.com/us/en/corporate/newsroom/featured-articles/resideos-new-emea-headquarters-opens-in-rolle-switzerland/</t>
        </is>
      </c>
      <c r="W172" s="93" t="inlineStr">
        <is>
          <t>Resideo Technologies EMEA</t>
        </is>
      </c>
      <c r="X172" s="98" t="inlineStr">
        <is>
          <t>Stellen suchen</t>
        </is>
      </c>
    </row>
    <row r="173" ht="23.25" customHeight="1" s="57">
      <c r="A173" s="93" t="n">
        <v>172</v>
      </c>
      <c r="B173" s="94" t="inlineStr">
        <is>
          <t>3</t>
        </is>
      </c>
      <c r="C173" s="93" t="inlineStr">
        <is>
          <t>Caterpillar SARL</t>
        </is>
      </c>
      <c r="D173" s="93" t="inlineStr">
        <is>
          <t>Genf</t>
        </is>
      </c>
      <c r="E173" s="93" t="inlineStr">
        <is>
          <t>GE</t>
        </is>
      </c>
      <c r="F173" s="95" t="inlineStr">
        <is>
          <t>Baumaschinen/Energiesysteme</t>
        </is>
      </c>
      <c r="G173" s="95" t="inlineStr">
        <is>
          <t>Internationaler Vertrieb, Marketing, Produktsupport, Business Development</t>
        </is>
      </c>
      <c r="H173" s="96" t="n"/>
      <c r="I173" s="93" t="inlineStr">
        <is>
          <t>CHF</t>
        </is>
      </c>
      <c r="J173" s="96">
        <f>IF(H173="","",H173*IF(I173="CHF",1,IF(I173="EUR",'Legende &amp; Kriterien'!$C$13,'Legende &amp; Kriterien'!$C$14)))</f>
        <v/>
      </c>
      <c r="K173" s="93">
        <f>IF(P173="Rohstoffhandel","— Handel —",IF(J173="","k.A.",IF(J173&gt;=5000,"A: &gt;5 Mrd.",IF(J173&gt;=3000,"B: 3-5 Mrd.",IF(J173&gt;=1000,"C: 1-3 Mrd.","D: 0.1-1 Mrd.")))))</f>
        <v/>
      </c>
      <c r="L173" s="93" t="inlineStr">
        <is>
          <t>k.A.</t>
        </is>
      </c>
      <c r="M173" s="96" t="n"/>
      <c r="N173" s="95" t="inlineStr">
        <is>
          <t>Caterpillar Inc. (US)</t>
        </is>
      </c>
      <c r="O173" s="93" t="inlineStr">
        <is>
          <t>geschätzt</t>
        </is>
      </c>
      <c r="P173" s="93" t="inlineStr">
        <is>
          <t>Konzern-HQ CH</t>
        </is>
      </c>
      <c r="Q173" s="95" t="inlineStr">
        <is>
          <t>EMEA-HQ</t>
        </is>
      </c>
      <c r="R173" s="63" t="n"/>
      <c r="S173" s="63" t="n"/>
      <c r="T173" s="63" t="n"/>
      <c r="U173" s="64" t="n"/>
      <c r="V173" s="97" t="inlineStr">
        <is>
          <t>https://www.caterpillar.com/en/company/global-footprint/switzerland.html</t>
        </is>
      </c>
      <c r="W173" s="93" t="inlineStr">
        <is>
          <t>Caterpillar SARL</t>
        </is>
      </c>
      <c r="X173" s="98" t="inlineStr">
        <is>
          <t>Stellen suchen</t>
        </is>
      </c>
    </row>
    <row r="174" ht="23.25" customHeight="1" s="57">
      <c r="A174" s="93" t="n">
        <v>173</v>
      </c>
      <c r="B174" s="94" t="inlineStr">
        <is>
          <t>3</t>
        </is>
      </c>
      <c r="C174" s="93" t="inlineStr">
        <is>
          <t>Honeywell International Sàrl</t>
        </is>
      </c>
      <c r="D174" s="93" t="inlineStr">
        <is>
          <t>Rolle</t>
        </is>
      </c>
      <c r="E174" s="93" t="inlineStr">
        <is>
          <t>VD</t>
        </is>
      </c>
      <c r="F174" s="95" t="inlineStr">
        <is>
          <t>Industrietechnologie/Automation</t>
        </is>
      </c>
      <c r="G174" s="95" t="inlineStr">
        <is>
          <t>Regionale Führungs- und Zentralfunktionen für die EMEA-Geschäfte</t>
        </is>
      </c>
      <c r="H174" s="96" t="n"/>
      <c r="I174" s="93" t="inlineStr">
        <is>
          <t>CHF</t>
        </is>
      </c>
      <c r="J174" s="96">
        <f>IF(H174="","",H174*IF(I174="CHF",1,IF(I174="EUR",'Legende &amp; Kriterien'!$C$13,'Legende &amp; Kriterien'!$C$14)))</f>
        <v/>
      </c>
      <c r="K174" s="93">
        <f>IF(P174="Rohstoffhandel","— Handel —",IF(J174="","k.A.",IF(J174&gt;=5000,"A: &gt;5 Mrd.",IF(J174&gt;=3000,"B: 3-5 Mrd.",IF(J174&gt;=1000,"C: 1-3 Mrd.","D: 0.1-1 Mrd.")))))</f>
        <v/>
      </c>
      <c r="L174" s="93" t="inlineStr">
        <is>
          <t>k.A.</t>
        </is>
      </c>
      <c r="M174" s="96" t="n"/>
      <c r="N174" s="95" t="inlineStr">
        <is>
          <t>Honeywell Intl. (US)</t>
        </is>
      </c>
      <c r="O174" s="93" t="inlineStr">
        <is>
          <t>geschätzt</t>
        </is>
      </c>
      <c r="P174" s="93" t="inlineStr">
        <is>
          <t>Konzern-HQ CH</t>
        </is>
      </c>
      <c r="Q174" s="95" t="inlineStr">
        <is>
          <t>EMEA-HQ</t>
        </is>
      </c>
      <c r="R174" s="63" t="n"/>
      <c r="S174" s="63" t="n"/>
      <c r="T174" s="63" t="n"/>
      <c r="U174" s="64" t="n"/>
      <c r="V174" s="97" t="inlineStr">
        <is>
          <t>https://www.honeywell.com/</t>
        </is>
      </c>
      <c r="W174" s="93" t="inlineStr">
        <is>
          <t>Honeywell International Sàrl</t>
        </is>
      </c>
      <c r="X174" s="98" t="inlineStr">
        <is>
          <t>Stellen suchen</t>
        </is>
      </c>
    </row>
    <row r="175" ht="23.25" customHeight="1" s="57">
      <c r="A175" s="93" t="n">
        <v>174</v>
      </c>
      <c r="B175" s="94" t="inlineStr">
        <is>
          <t>3</t>
        </is>
      </c>
      <c r="C175" s="93" t="inlineStr">
        <is>
          <t>Emerson Process Management Europe</t>
        </is>
      </c>
      <c r="D175" s="93" t="inlineStr">
        <is>
          <t>Baar</t>
        </is>
      </c>
      <c r="E175" s="93" t="inlineStr">
        <is>
          <t>ZG</t>
        </is>
      </c>
      <c r="F175" s="95" t="inlineStr">
        <is>
          <t>Prozessautomation</t>
        </is>
      </c>
      <c r="G175" s="95" t="inlineStr">
        <is>
          <t>Europäische Zentrale: Führung, Schulung, Demonstration Prozessleittechnik</t>
        </is>
      </c>
      <c r="H175" s="96" t="n"/>
      <c r="I175" s="93" t="inlineStr">
        <is>
          <t>CHF</t>
        </is>
      </c>
      <c r="J175" s="96">
        <f>IF(H175="","",H175*IF(I175="CHF",1,IF(I175="EUR",'Legende &amp; Kriterien'!$C$13,'Legende &amp; Kriterien'!$C$14)))</f>
        <v/>
      </c>
      <c r="K175" s="93">
        <f>IF(P175="Rohstoffhandel","— Handel —",IF(J175="","k.A.",IF(J175&gt;=5000,"A: &gt;5 Mrd.",IF(J175&gt;=3000,"B: 3-5 Mrd.",IF(J175&gt;=1000,"C: 1-3 Mrd.","D: 0.1-1 Mrd.")))))</f>
        <v/>
      </c>
      <c r="L175" s="93" t="inlineStr">
        <is>
          <t>k.A.</t>
        </is>
      </c>
      <c r="M175" s="96" t="n"/>
      <c r="N175" s="95" t="inlineStr">
        <is>
          <t>Emerson Electric (US)</t>
        </is>
      </c>
      <c r="O175" s="93" t="inlineStr">
        <is>
          <t>geschätzt</t>
        </is>
      </c>
      <c r="P175" s="93" t="inlineStr">
        <is>
          <t>Konzern-HQ CH</t>
        </is>
      </c>
      <c r="Q175" s="95" t="inlineStr">
        <is>
          <t>EMEA-HQ</t>
        </is>
      </c>
      <c r="R175" s="63" t="n"/>
      <c r="S175" s="63" t="n"/>
      <c r="T175" s="63" t="n"/>
      <c r="U175" s="64" t="n"/>
      <c r="V175" s="97" t="inlineStr">
        <is>
          <t>https://www.emerson.com/</t>
        </is>
      </c>
      <c r="W175" s="93" t="inlineStr">
        <is>
          <t>Emerson Process Management Europe</t>
        </is>
      </c>
      <c r="X175" s="98" t="inlineStr">
        <is>
          <t>Stellen suchen</t>
        </is>
      </c>
    </row>
    <row r="176" ht="23.25" customHeight="1" s="57">
      <c r="A176" s="93" t="n">
        <v>175</v>
      </c>
      <c r="B176" s="94" t="inlineStr">
        <is>
          <t>3</t>
        </is>
      </c>
      <c r="C176" s="93" t="inlineStr">
        <is>
          <t>Eaton EMEA</t>
        </is>
      </c>
      <c r="D176" s="93" t="inlineStr">
        <is>
          <t>Morges</t>
        </is>
      </c>
      <c r="E176" s="93" t="inlineStr">
        <is>
          <t>VD</t>
        </is>
      </c>
      <c r="F176" s="95" t="inlineStr">
        <is>
          <t>Elektrotechnik/Energieverteilung</t>
        </is>
      </c>
      <c r="G176" s="95" t="inlineStr">
        <is>
          <t>Regionalleitung EMEA für 44 Länder und 141 Standorte</t>
        </is>
      </c>
      <c r="H176" s="96" t="n"/>
      <c r="I176" s="93" t="inlineStr">
        <is>
          <t>CHF</t>
        </is>
      </c>
      <c r="J176" s="96">
        <f>IF(H176="","",H176*IF(I176="CHF",1,IF(I176="EUR",'Legende &amp; Kriterien'!$C$13,'Legende &amp; Kriterien'!$C$14)))</f>
        <v/>
      </c>
      <c r="K176" s="93">
        <f>IF(P176="Rohstoffhandel","— Handel —",IF(J176="","k.A.",IF(J176&gt;=5000,"A: &gt;5 Mrd.",IF(J176&gt;=3000,"B: 3-5 Mrd.",IF(J176&gt;=1000,"C: 1-3 Mrd.","D: 0.1-1 Mrd.")))))</f>
        <v/>
      </c>
      <c r="L176" s="93" t="inlineStr">
        <is>
          <t>k.A.</t>
        </is>
      </c>
      <c r="M176" s="96" t="n"/>
      <c r="N176" s="95" t="inlineStr">
        <is>
          <t>Eaton Corp. plc (IE/US)</t>
        </is>
      </c>
      <c r="O176" s="93" t="inlineStr">
        <is>
          <t>geschätzt</t>
        </is>
      </c>
      <c r="P176" s="93" t="inlineStr">
        <is>
          <t>Konzern-HQ CH</t>
        </is>
      </c>
      <c r="Q176" s="95" t="inlineStr">
        <is>
          <t>EMEA-HQ</t>
        </is>
      </c>
      <c r="R176" s="63" t="n"/>
      <c r="S176" s="63" t="n"/>
      <c r="T176" s="63" t="n"/>
      <c r="U176" s="64" t="n"/>
      <c r="V176" s="97" t="inlineStr">
        <is>
          <t>https://www.eaton.com/</t>
        </is>
      </c>
      <c r="W176" s="93" t="inlineStr">
        <is>
          <t>Eaton EMEA</t>
        </is>
      </c>
      <c r="X176" s="98" t="inlineStr">
        <is>
          <t>Stellen suchen</t>
        </is>
      </c>
    </row>
    <row r="177" ht="15" customHeight="1" s="57">
      <c r="A177" s="93" t="n">
        <v>176</v>
      </c>
      <c r="B177" s="94" t="inlineStr">
        <is>
          <t>3</t>
        </is>
      </c>
      <c r="C177" s="93" t="inlineStr">
        <is>
          <t>Dow Europe</t>
        </is>
      </c>
      <c r="D177" s="93" t="inlineStr">
        <is>
          <t>Horgen</t>
        </is>
      </c>
      <c r="E177" s="93" t="inlineStr">
        <is>
          <t>ZH</t>
        </is>
      </c>
      <c r="F177" s="95" t="inlineStr">
        <is>
          <t>Chemie/Industriematerialien</t>
        </is>
      </c>
      <c r="G177" s="95" t="inlineStr">
        <is>
          <t>EMEAI-Zentrale: Geschäftsleitung, Marketing, Verkauf, Finanzen</t>
        </is>
      </c>
      <c r="H177" s="96" t="n"/>
      <c r="I177" s="93" t="inlineStr">
        <is>
          <t>CHF</t>
        </is>
      </c>
      <c r="J177" s="96">
        <f>IF(H177="","",H177*IF(I177="CHF",1,IF(I177="EUR",'Legende &amp; Kriterien'!$C$13,'Legende &amp; Kriterien'!$C$14)))</f>
        <v/>
      </c>
      <c r="K177" s="93">
        <f>IF(P177="Rohstoffhandel","— Handel —",IF(J177="","k.A.",IF(J177&gt;=5000,"A: &gt;5 Mrd.",IF(J177&gt;=3000,"B: 3-5 Mrd.",IF(J177&gt;=1000,"C: 1-3 Mrd.","D: 0.1-1 Mrd.")))))</f>
        <v/>
      </c>
      <c r="L177" s="93" t="inlineStr">
        <is>
          <t>k.A.</t>
        </is>
      </c>
      <c r="M177" s="96" t="n"/>
      <c r="N177" s="95" t="inlineStr">
        <is>
          <t>Dow Inc. (US)</t>
        </is>
      </c>
      <c r="O177" s="93" t="inlineStr">
        <is>
          <t>geschätzt</t>
        </is>
      </c>
      <c r="P177" s="93" t="inlineStr">
        <is>
          <t>Konzern-HQ CH</t>
        </is>
      </c>
      <c r="Q177" s="95" t="inlineStr">
        <is>
          <t>EMEA-HQ</t>
        </is>
      </c>
      <c r="R177" s="63" t="n"/>
      <c r="S177" s="63" t="n"/>
      <c r="T177" s="63" t="n"/>
      <c r="U177" s="64" t="n"/>
      <c r="V177" s="97" t="inlineStr">
        <is>
          <t>https://ch.dow.com/en-us.html</t>
        </is>
      </c>
      <c r="W177" s="93" t="inlineStr">
        <is>
          <t>Dow Europe</t>
        </is>
      </c>
      <c r="X177" s="98" t="inlineStr">
        <is>
          <t>Stellen suchen</t>
        </is>
      </c>
    </row>
    <row r="178" ht="23.25" customHeight="1" s="57">
      <c r="A178" s="93" t="n">
        <v>177</v>
      </c>
      <c r="B178" s="94" t="inlineStr">
        <is>
          <t>3</t>
        </is>
      </c>
      <c r="C178" s="93" t="inlineStr">
        <is>
          <t>Tetra Laval International</t>
        </is>
      </c>
      <c r="D178" s="93" t="inlineStr">
        <is>
          <t>Pully</t>
        </is>
      </c>
      <c r="E178" s="93" t="inlineStr">
        <is>
          <t>VD</t>
        </is>
      </c>
      <c r="F178" s="95" t="inlineStr">
        <is>
          <t>Verpackungs-/Prozessmaschinen</t>
        </is>
      </c>
      <c r="G178" s="95" t="inlineStr">
        <is>
          <t>Konzerndach Tetra Pak, Sidel und DeLaval: Führung und Finanzen</t>
        </is>
      </c>
      <c r="H178" s="96" t="n"/>
      <c r="I178" s="93" t="inlineStr">
        <is>
          <t>CHF</t>
        </is>
      </c>
      <c r="J178" s="96">
        <f>IF(H178="","",H178*IF(I178="CHF",1,IF(I178="EUR",'Legende &amp; Kriterien'!$C$13,'Legende &amp; Kriterien'!$C$14)))</f>
        <v/>
      </c>
      <c r="K178" s="93">
        <f>IF(P178="Rohstoffhandel","— Handel —",IF(J178="","k.A.",IF(J178&gt;=5000,"A: &gt;5 Mrd.",IF(J178&gt;=3000,"B: 3-5 Mrd.",IF(J178&gt;=1000,"C: 1-3 Mrd.","D: 0.1-1 Mrd.")))))</f>
        <v/>
      </c>
      <c r="L178" s="93" t="inlineStr">
        <is>
          <t>k.A.</t>
        </is>
      </c>
      <c r="M178" s="96" t="n"/>
      <c r="N178" s="95" t="inlineStr">
        <is>
          <t>Familie Rausing (SE)</t>
        </is>
      </c>
      <c r="O178" s="93" t="inlineStr">
        <is>
          <t>geschätzt</t>
        </is>
      </c>
      <c r="P178" s="93" t="inlineStr">
        <is>
          <t>Konzern-HQ CH</t>
        </is>
      </c>
      <c r="Q178" s="95" t="inlineStr">
        <is>
          <t>GLOBAL-HQ</t>
        </is>
      </c>
      <c r="R178" s="63" t="n"/>
      <c r="S178" s="63" t="n"/>
      <c r="T178" s="63" t="n"/>
      <c r="U178" s="64" t="n"/>
      <c r="V178" s="97" t="inlineStr">
        <is>
          <t>https://www.tetralaval.com/</t>
        </is>
      </c>
      <c r="W178" s="93" t="inlineStr">
        <is>
          <t>Tetra Laval International</t>
        </is>
      </c>
      <c r="X178" s="98" t="inlineStr">
        <is>
          <t>Stellen suchen</t>
        </is>
      </c>
    </row>
    <row r="179" ht="23.25" customHeight="1" s="57">
      <c r="A179" s="93" t="n">
        <v>178</v>
      </c>
      <c r="B179" s="94" t="inlineStr">
        <is>
          <t>3</t>
        </is>
      </c>
      <c r="C179" s="93" t="inlineStr">
        <is>
          <t>Aptiv Technologies</t>
        </is>
      </c>
      <c r="D179" s="93" t="inlineStr">
        <is>
          <t>Schaffhausen</t>
        </is>
      </c>
      <c r="E179" s="93" t="inlineStr">
        <is>
          <t>SH</t>
        </is>
      </c>
      <c r="F179" s="95" t="inlineStr">
        <is>
          <t>Fahrzeugelektronik</t>
        </is>
      </c>
      <c r="G179" s="95" t="inlineStr">
        <is>
          <t>Konzernsitz seit 2025: Strategie, Recht, kommerzielle Führung Europa</t>
        </is>
      </c>
      <c r="H179" s="96" t="n"/>
      <c r="I179" s="93" t="inlineStr">
        <is>
          <t>CHF</t>
        </is>
      </c>
      <c r="J179" s="96">
        <f>IF(H179="","",H179*IF(I179="CHF",1,IF(I179="EUR",'Legende &amp; Kriterien'!$C$13,'Legende &amp; Kriterien'!$C$14)))</f>
        <v/>
      </c>
      <c r="K179" s="93">
        <f>IF(P179="Rohstoffhandel","— Handel —",IF(J179="","k.A.",IF(J179&gt;=5000,"A: &gt;5 Mrd.",IF(J179&gt;=3000,"B: 3-5 Mrd.",IF(J179&gt;=1000,"C: 1-3 Mrd.","D: 0.1-1 Mrd.")))))</f>
        <v/>
      </c>
      <c r="L179" s="93" t="inlineStr">
        <is>
          <t>k.A.</t>
        </is>
      </c>
      <c r="M179" s="96" t="n"/>
      <c r="N179" s="95" t="inlineStr">
        <is>
          <t>Aptiv PLC (JE/US)</t>
        </is>
      </c>
      <c r="O179" s="93" t="inlineStr">
        <is>
          <t>geschätzt</t>
        </is>
      </c>
      <c r="P179" s="93" t="inlineStr">
        <is>
          <t>Konzern-HQ CH</t>
        </is>
      </c>
      <c r="Q179" s="95" t="inlineStr">
        <is>
          <t>GLOBAL-HQ</t>
        </is>
      </c>
      <c r="R179" s="63" t="n"/>
      <c r="S179" s="63" t="n"/>
      <c r="T179" s="63" t="n"/>
      <c r="U179" s="64" t="n"/>
      <c r="V179" s="97" t="inlineStr">
        <is>
          <t>https://www.aptiv.com/en/jobs/working-here/global-locations/switzerland</t>
        </is>
      </c>
      <c r="W179" s="93" t="inlineStr">
        <is>
          <t>Aptiv Technologies</t>
        </is>
      </c>
      <c r="X179" s="98" t="inlineStr">
        <is>
          <t>Stellen suchen</t>
        </is>
      </c>
    </row>
    <row r="180" ht="15" customHeight="1" s="57">
      <c r="A180" s="93" t="n">
        <v>179</v>
      </c>
      <c r="B180" s="94" t="inlineStr">
        <is>
          <t>3</t>
        </is>
      </c>
      <c r="C180" s="93" t="inlineStr">
        <is>
          <t>Transocean</t>
        </is>
      </c>
      <c r="D180" s="93" t="inlineStr">
        <is>
          <t>Steinhausen</t>
        </is>
      </c>
      <c r="E180" s="93" t="inlineStr">
        <is>
          <t>ZG</t>
        </is>
      </c>
      <c r="F180" s="95" t="inlineStr">
        <is>
          <t>Offshore-Bohrtechnik</t>
        </is>
      </c>
      <c r="G180" s="95" t="inlineStr">
        <is>
          <t>Konzernsitz und Hauptverwaltung des Offshore-Bohrkonzerns</t>
        </is>
      </c>
      <c r="H180" s="96" t="n"/>
      <c r="I180" s="93" t="inlineStr">
        <is>
          <t>CHF</t>
        </is>
      </c>
      <c r="J180" s="96">
        <f>IF(H180="","",H180*IF(I180="CHF",1,IF(I180="EUR",'Legende &amp; Kriterien'!$C$13,'Legende &amp; Kriterien'!$C$14)))</f>
        <v/>
      </c>
      <c r="K180" s="93">
        <f>IF(P180="Rohstoffhandel","— Handel —",IF(J180="","k.A.",IF(J180&gt;=5000,"A: &gt;5 Mrd.",IF(J180&gt;=3000,"B: 3-5 Mrd.",IF(J180&gt;=1000,"C: 1-3 Mrd.","D: 0.1-1 Mrd.")))))</f>
        <v/>
      </c>
      <c r="L180" s="93" t="inlineStr">
        <is>
          <t>k.A.</t>
        </is>
      </c>
      <c r="M180" s="96" t="n"/>
      <c r="N180" s="95" t="inlineStr">
        <is>
          <t>Transocean Ltd. (NYSE)</t>
        </is>
      </c>
      <c r="O180" s="93" t="inlineStr">
        <is>
          <t>geschätzt</t>
        </is>
      </c>
      <c r="P180" s="93" t="inlineStr">
        <is>
          <t>Konzern-HQ CH</t>
        </is>
      </c>
      <c r="Q180" s="95" t="inlineStr">
        <is>
          <t>GLOBAL-HQ</t>
        </is>
      </c>
      <c r="R180" s="63" t="n"/>
      <c r="S180" s="63" t="n"/>
      <c r="T180" s="63" t="n"/>
      <c r="U180" s="64" t="n"/>
      <c r="V180" s="97" t="inlineStr">
        <is>
          <t>https://www.deepwater.com/</t>
        </is>
      </c>
      <c r="W180" s="93" t="inlineStr">
        <is>
          <t>Transocean</t>
        </is>
      </c>
      <c r="X180" s="98" t="inlineStr">
        <is>
          <t>Stellen suchen</t>
        </is>
      </c>
    </row>
    <row r="181" ht="15" customHeight="1" s="57">
      <c r="A181" s="93" t="n">
        <v>180</v>
      </c>
      <c r="B181" s="94" t="inlineStr">
        <is>
          <t>3</t>
        </is>
      </c>
      <c r="C181" s="93" t="inlineStr">
        <is>
          <t>Allseas Group</t>
        </is>
      </c>
      <c r="D181" s="93" t="inlineStr">
        <is>
          <t>Châtel-Saint-Denis</t>
        </is>
      </c>
      <c r="E181" s="93" t="inlineStr">
        <is>
          <t>FR</t>
        </is>
      </c>
      <c r="F181" s="95" t="inlineStr">
        <is>
          <t>Offshore-Pipelinebau</t>
        </is>
      </c>
      <c r="G181" s="95" t="inlineStr">
        <is>
          <t>Konzernsitz: Führung, Finanzen, Projektsteuerung</t>
        </is>
      </c>
      <c r="H181" s="96" t="n"/>
      <c r="I181" s="93" t="inlineStr">
        <is>
          <t>CHF</t>
        </is>
      </c>
      <c r="J181" s="96">
        <f>IF(H181="","",H181*IF(I181="CHF",1,IF(I181="EUR",'Legende &amp; Kriterien'!$C$13,'Legende &amp; Kriterien'!$C$14)))</f>
        <v/>
      </c>
      <c r="K181" s="93">
        <f>IF(P181="Rohstoffhandel","— Handel —",IF(J181="","k.A.",IF(J181&gt;=5000,"A: &gt;5 Mrd.",IF(J181&gt;=3000,"B: 3-5 Mrd.",IF(J181&gt;=1000,"C: 1-3 Mrd.","D: 0.1-1 Mrd.")))))</f>
        <v/>
      </c>
      <c r="L181" s="93" t="inlineStr">
        <is>
          <t>k.A.</t>
        </is>
      </c>
      <c r="M181" s="96" t="n"/>
      <c r="N181" s="95" t="inlineStr">
        <is>
          <t>Familie Heerema (NL)</t>
        </is>
      </c>
      <c r="O181" s="93" t="inlineStr">
        <is>
          <t>geschätzt</t>
        </is>
      </c>
      <c r="P181" s="93" t="inlineStr">
        <is>
          <t>Konzern-HQ CH</t>
        </is>
      </c>
      <c r="Q181" s="95" t="inlineStr">
        <is>
          <t>GLOBAL-HQ</t>
        </is>
      </c>
      <c r="R181" s="63" t="n"/>
      <c r="S181" s="63" t="n"/>
      <c r="T181" s="63" t="n"/>
      <c r="U181" s="64" t="n"/>
      <c r="V181" s="97" t="inlineStr">
        <is>
          <t>https://allseas.com/</t>
        </is>
      </c>
      <c r="W181" s="93" t="inlineStr">
        <is>
          <t>Allseas Group</t>
        </is>
      </c>
      <c r="X181" s="98" t="inlineStr">
        <is>
          <t>Stellen suchen</t>
        </is>
      </c>
    </row>
    <row r="182" ht="23.25" customHeight="1" s="57">
      <c r="A182" s="93" t="n">
        <v>181</v>
      </c>
      <c r="B182" s="94" t="inlineStr">
        <is>
          <t>3</t>
        </is>
      </c>
      <c r="C182" s="93" t="inlineStr">
        <is>
          <t>Nobel Biocare Services</t>
        </is>
      </c>
      <c r="D182" s="93" t="inlineStr">
        <is>
          <t>Kloten</t>
        </is>
      </c>
      <c r="E182" s="93" t="inlineStr">
        <is>
          <t>ZH</t>
        </is>
      </c>
      <c r="F182" s="95" t="inlineStr">
        <is>
          <t>Dental (Implantologie)</t>
        </is>
      </c>
      <c r="G182" s="95" t="inlineStr">
        <is>
          <t>Weltweiter Hauptsitz Dentalimplantate, Produktentwicklung, Marketing</t>
        </is>
      </c>
      <c r="H182" s="96" t="n"/>
      <c r="I182" s="93" t="inlineStr">
        <is>
          <t>CHF</t>
        </is>
      </c>
      <c r="J182" s="96">
        <f>IF(H182="","",H182*IF(I182="CHF",1,IF(I182="EUR",'Legende &amp; Kriterien'!$C$13,'Legende &amp; Kriterien'!$C$14)))</f>
        <v/>
      </c>
      <c r="K182" s="93">
        <f>IF(P182="Rohstoffhandel","— Handel —",IF(J182="","k.A.",IF(J182&gt;=5000,"A: &gt;5 Mrd.",IF(J182&gt;=3000,"B: 3-5 Mrd.",IF(J182&gt;=1000,"C: 1-3 Mrd.","D: 0.1-1 Mrd.")))))</f>
        <v/>
      </c>
      <c r="L182" s="93" t="inlineStr">
        <is>
          <t>k.A.</t>
        </is>
      </c>
      <c r="M182" s="96" t="n"/>
      <c r="N182" s="95" t="inlineStr">
        <is>
          <t>Envista Holdings (US)</t>
        </is>
      </c>
      <c r="O182" s="93" t="inlineStr">
        <is>
          <t>geschätzt</t>
        </is>
      </c>
      <c r="P182" s="93" t="inlineStr">
        <is>
          <t>Konzern-HQ CH</t>
        </is>
      </c>
      <c r="Q182" s="95" t="inlineStr">
        <is>
          <t>GLOBAL-HQ</t>
        </is>
      </c>
      <c r="R182" s="63" t="n"/>
      <c r="S182" s="63" t="n"/>
      <c r="T182" s="63" t="n"/>
      <c r="U182" s="64" t="n"/>
      <c r="V182" s="97" t="inlineStr">
        <is>
          <t>https://www.nobelbiocare.com/en-int/contacts</t>
        </is>
      </c>
      <c r="W182" s="93" t="inlineStr">
        <is>
          <t>Nobel Biocare Services</t>
        </is>
      </c>
      <c r="X182" s="98" t="inlineStr">
        <is>
          <t>Stellen suchen</t>
        </is>
      </c>
    </row>
    <row r="183" ht="15" customHeight="1" s="57">
      <c r="A183" s="93" t="n">
        <v>182</v>
      </c>
      <c r="B183" s="94" t="inlineStr">
        <is>
          <t>3</t>
        </is>
      </c>
      <c r="C183" s="93" t="inlineStr">
        <is>
          <t>Medos International</t>
        </is>
      </c>
      <c r="D183" s="93" t="inlineStr">
        <is>
          <t>Le Locle</t>
        </is>
      </c>
      <c r="E183" s="93" t="inlineStr">
        <is>
          <t>NE</t>
        </is>
      </c>
      <c r="F183" s="95" t="inlineStr">
        <is>
          <t>Medtech (Chirurgie)</t>
        </is>
      </c>
      <c r="G183" s="95" t="inlineStr">
        <is>
          <t>Globale Funktionen Ethicon und DePuy Spine, MedTech-Produktion</t>
        </is>
      </c>
      <c r="H183" s="96" t="n"/>
      <c r="I183" s="93" t="inlineStr">
        <is>
          <t>CHF</t>
        </is>
      </c>
      <c r="J183" s="96">
        <f>IF(H183="","",H183*IF(I183="CHF",1,IF(I183="EUR",'Legende &amp; Kriterien'!$C$13,'Legende &amp; Kriterien'!$C$14)))</f>
        <v/>
      </c>
      <c r="K183" s="93">
        <f>IF(P183="Rohstoffhandel","— Handel —",IF(J183="","k.A.",IF(J183&gt;=5000,"A: &gt;5 Mrd.",IF(J183&gt;=3000,"B: 3-5 Mrd.",IF(J183&gt;=1000,"C: 1-3 Mrd.","D: 0.1-1 Mrd.")))))</f>
        <v/>
      </c>
      <c r="L183" s="93" t="inlineStr">
        <is>
          <t>k.A.</t>
        </is>
      </c>
      <c r="M183" s="96" t="n"/>
      <c r="N183" s="95" t="inlineStr">
        <is>
          <t>Johnson &amp; Johnson (US)</t>
        </is>
      </c>
      <c r="O183" s="93" t="inlineStr">
        <is>
          <t>geschätzt</t>
        </is>
      </c>
      <c r="P183" s="93" t="inlineStr">
        <is>
          <t>Konzern-HQ CH</t>
        </is>
      </c>
      <c r="Q183" s="95" t="inlineStr">
        <is>
          <t>DIVISIONS-HQ</t>
        </is>
      </c>
      <c r="R183" s="63" t="n"/>
      <c r="S183" s="63" t="n"/>
      <c r="T183" s="63" t="n"/>
      <c r="U183" s="64" t="n"/>
      <c r="V183" s="97" t="inlineStr">
        <is>
          <t>https://www.jnj.com/CH/de/standorte</t>
        </is>
      </c>
      <c r="W183" s="93" t="inlineStr">
        <is>
          <t>Medos International</t>
        </is>
      </c>
      <c r="X183" s="98" t="inlineStr">
        <is>
          <t>Stellen suchen</t>
        </is>
      </c>
    </row>
    <row r="184" ht="15" customHeight="1" s="57">
      <c r="A184" s="93" t="n">
        <v>183</v>
      </c>
      <c r="B184" s="94" t="inlineStr">
        <is>
          <t>3</t>
        </is>
      </c>
      <c r="C184" s="93" t="inlineStr">
        <is>
          <t>Baxter Healthcare</t>
        </is>
      </c>
      <c r="D184" s="93" t="inlineStr">
        <is>
          <t>Glattpark (Opfikon)</t>
        </is>
      </c>
      <c r="E184" s="93" t="inlineStr">
        <is>
          <t>ZH</t>
        </is>
      </c>
      <c r="F184" s="95" t="inlineStr">
        <is>
          <t>Medtech (Akutversorgung)</t>
        </is>
      </c>
      <c r="G184" s="95" t="inlineStr">
        <is>
          <t>Europäischer Hauptsitz mit Regional-, Rechts- und Finanzfunktionen</t>
        </is>
      </c>
      <c r="H184" s="96" t="n"/>
      <c r="I184" s="93" t="inlineStr">
        <is>
          <t>CHF</t>
        </is>
      </c>
      <c r="J184" s="96">
        <f>IF(H184="","",H184*IF(I184="CHF",1,IF(I184="EUR",'Legende &amp; Kriterien'!$C$13,'Legende &amp; Kriterien'!$C$14)))</f>
        <v/>
      </c>
      <c r="K184" s="93">
        <f>IF(P184="Rohstoffhandel","— Handel —",IF(J184="","k.A.",IF(J184&gt;=5000,"A: &gt;5 Mrd.",IF(J184&gt;=3000,"B: 3-5 Mrd.",IF(J184&gt;=1000,"C: 1-3 Mrd.","D: 0.1-1 Mrd.")))))</f>
        <v/>
      </c>
      <c r="L184" s="93" t="inlineStr">
        <is>
          <t>k.A.</t>
        </is>
      </c>
      <c r="M184" s="96" t="n"/>
      <c r="N184" s="95" t="inlineStr">
        <is>
          <t>Baxter International (US)</t>
        </is>
      </c>
      <c r="O184" s="93" t="inlineStr">
        <is>
          <t>geschätzt</t>
        </is>
      </c>
      <c r="P184" s="93" t="inlineStr">
        <is>
          <t>Konzern-HQ CH</t>
        </is>
      </c>
      <c r="Q184" s="95" t="inlineStr">
        <is>
          <t>EMEA-HQ</t>
        </is>
      </c>
      <c r="R184" s="63" t="n"/>
      <c r="S184" s="63" t="n"/>
      <c r="T184" s="63" t="n"/>
      <c r="U184" s="64" t="n"/>
      <c r="V184" s="97" t="inlineStr">
        <is>
          <t>https://www.baxter.ch/</t>
        </is>
      </c>
      <c r="W184" s="93" t="inlineStr">
        <is>
          <t>Baxter Healthcare</t>
        </is>
      </c>
      <c r="X184" s="98" t="inlineStr">
        <is>
          <t>Stellen suchen</t>
        </is>
      </c>
    </row>
    <row r="185" ht="15" customHeight="1" s="57">
      <c r="A185" s="59" t="n">
        <v>184</v>
      </c>
      <c r="B185" s="60" t="inlineStr">
        <is>
          <t>1</t>
        </is>
      </c>
      <c r="C185" s="59" t="inlineStr">
        <is>
          <t>Santrade (Sandvik)</t>
        </is>
      </c>
      <c r="D185" s="59" t="inlineStr">
        <is>
          <t>Luzern</t>
        </is>
      </c>
      <c r="E185" s="59" t="inlineStr">
        <is>
          <t>LU</t>
        </is>
      </c>
      <c r="F185" s="61" t="inlineStr">
        <is>
          <t>Werkzeug-/Maschinenindustrie</t>
        </is>
      </c>
      <c r="G185" s="61" t="inlineStr">
        <is>
          <t>Weltweite Logistikzentrale Sandvik Machining Solutions</t>
        </is>
      </c>
      <c r="H185" s="62" t="n"/>
      <c r="I185" s="59" t="inlineStr">
        <is>
          <t>CHF</t>
        </is>
      </c>
      <c r="J185" s="62">
        <f>IF(H185="","",H185*IF(I185="CHF",1,IF(I185="EUR",'Legende &amp; Kriterien'!$C$13,'Legende &amp; Kriterien'!$C$14)))</f>
        <v/>
      </c>
      <c r="K185" s="59">
        <f>IF(P185="Rohstoffhandel","— Handel —",IF(J185="","k.A.",IF(J185&gt;=5000,"A: &gt;5 Mrd.",IF(J185&gt;=3000,"B: 3-5 Mrd.",IF(J185&gt;=1000,"C: 1-3 Mrd.","D: 0.1-1 Mrd.")))))</f>
        <v/>
      </c>
      <c r="L185" s="59" t="inlineStr">
        <is>
          <t>k.A.</t>
        </is>
      </c>
      <c r="M185" s="62" t="n"/>
      <c r="N185" s="61" t="inlineStr">
        <is>
          <t>Sandvik AB (SE)</t>
        </is>
      </c>
      <c r="O185" s="59" t="inlineStr">
        <is>
          <t>geschätzt</t>
        </is>
      </c>
      <c r="P185" s="59" t="inlineStr">
        <is>
          <t>Konzern-HQ CH</t>
        </is>
      </c>
      <c r="Q185" s="61" t="inlineStr">
        <is>
          <t>DIVISIONS-HQ</t>
        </is>
      </c>
      <c r="R185" s="63" t="n"/>
      <c r="S185" s="63" t="n"/>
      <c r="T185" s="63" t="n"/>
      <c r="U185" s="64" t="n"/>
      <c r="V185" s="65" t="inlineStr">
        <is>
          <t>https://www.lucerne-business.com/en/company/santrade-ltd-and-sandvik-ag-1676</t>
        </is>
      </c>
      <c r="W185" s="59" t="inlineStr">
        <is>
          <t>Santrade (Sandvik)</t>
        </is>
      </c>
      <c r="X185" s="66" t="inlineStr">
        <is>
          <t>Stellen suchen</t>
        </is>
      </c>
      <c r="Y185" s="67" t="inlineStr">
        <is>
          <t>https://www.home.sandvik/en/careers/job-search/</t>
        </is>
      </c>
    </row>
    <row r="186" ht="15" customHeight="1" s="57">
      <c r="A186" s="93" t="n">
        <v>185</v>
      </c>
      <c r="B186" s="94" t="inlineStr">
        <is>
          <t>3</t>
        </is>
      </c>
      <c r="C186" s="93" t="inlineStr">
        <is>
          <t>Thermo Fisher Scientific Ecublens</t>
        </is>
      </c>
      <c r="D186" s="93" t="inlineStr">
        <is>
          <t>Ecublens</t>
        </is>
      </c>
      <c r="E186" s="93" t="inlineStr">
        <is>
          <t>VD</t>
        </is>
      </c>
      <c r="F186" s="95" t="inlineStr">
        <is>
          <t>Analytische Instrumente</t>
        </is>
      </c>
      <c r="G186" s="95" t="inlineStr">
        <is>
          <t>Entwicklung und Produktion ARL-Röntgenfluoreszenz-Spektrometer</t>
        </is>
      </c>
      <c r="H186" s="96" t="n"/>
      <c r="I186" s="93" t="inlineStr">
        <is>
          <t>CHF</t>
        </is>
      </c>
      <c r="J186" s="96">
        <f>IF(H186="","",H186*IF(I186="CHF",1,IF(I186="EUR",'Legende &amp; Kriterien'!$C$13,'Legende &amp; Kriterien'!$C$14)))</f>
        <v/>
      </c>
      <c r="K186" s="93">
        <f>IF(P186="Rohstoffhandel","— Handel —",IF(J186="","k.A.",IF(J186&gt;=5000,"A: &gt;5 Mrd.",IF(J186&gt;=3000,"B: 3-5 Mrd.",IF(J186&gt;=1000,"C: 1-3 Mrd.","D: 0.1-1 Mrd.")))))</f>
        <v/>
      </c>
      <c r="L186" s="93" t="inlineStr">
        <is>
          <t>k.A.</t>
        </is>
      </c>
      <c r="M186" s="96" t="n"/>
      <c r="N186" s="95" t="inlineStr">
        <is>
          <t>Thermo Fisher Scientific (US)</t>
        </is>
      </c>
      <c r="O186" s="93" t="inlineStr">
        <is>
          <t>geschätzt</t>
        </is>
      </c>
      <c r="P186" s="93" t="inlineStr">
        <is>
          <t>Konzern-HQ CH</t>
        </is>
      </c>
      <c r="Q186" s="95" t="inlineStr">
        <is>
          <t>DIVISIONS-HQ</t>
        </is>
      </c>
      <c r="R186" s="63" t="n"/>
      <c r="S186" s="63" t="n"/>
      <c r="T186" s="63" t="n"/>
      <c r="U186" s="64" t="n"/>
      <c r="V186" s="97" t="inlineStr">
        <is>
          <t>https://www.thermofisher.com/</t>
        </is>
      </c>
      <c r="W186" s="93" t="inlineStr">
        <is>
          <t>Thermo Fisher Scientific Ecublens</t>
        </is>
      </c>
      <c r="X186" s="98" t="inlineStr">
        <is>
          <t>Stellen suchen</t>
        </is>
      </c>
    </row>
    <row r="187" ht="15" customHeight="1" s="57">
      <c r="A187" s="93" t="n">
        <v>186</v>
      </c>
      <c r="B187" s="94" t="inlineStr">
        <is>
          <t>3</t>
        </is>
      </c>
      <c r="C187" s="93" t="inlineStr">
        <is>
          <t>Sigma-Aldrich (Merck Life Science)</t>
        </is>
      </c>
      <c r="D187" s="93" t="inlineStr">
        <is>
          <t>Buchs</t>
        </is>
      </c>
      <c r="E187" s="93" t="inlineStr">
        <is>
          <t>SG</t>
        </is>
      </c>
      <c r="F187" s="95" t="inlineStr">
        <is>
          <t>Labor-/Analytikbedarf</t>
        </is>
      </c>
      <c r="G187" s="95" t="inlineStr">
        <is>
          <t>Globales Kompetenzzentrum analytische Referenzstandards</t>
        </is>
      </c>
      <c r="H187" s="96" t="n"/>
      <c r="I187" s="93" t="inlineStr">
        <is>
          <t>CHF</t>
        </is>
      </c>
      <c r="J187" s="96">
        <f>IF(H187="","",H187*IF(I187="CHF",1,IF(I187="EUR",'Legende &amp; Kriterien'!$C$13,'Legende &amp; Kriterien'!$C$14)))</f>
        <v/>
      </c>
      <c r="K187" s="93">
        <f>IF(P187="Rohstoffhandel","— Handel —",IF(J187="","k.A.",IF(J187&gt;=5000,"A: &gt;5 Mrd.",IF(J187&gt;=3000,"B: 3-5 Mrd.",IF(J187&gt;=1000,"C: 1-3 Mrd.","D: 0.1-1 Mrd.")))))</f>
        <v/>
      </c>
      <c r="L187" s="93" t="inlineStr">
        <is>
          <t>k.A.</t>
        </is>
      </c>
      <c r="M187" s="96" t="n"/>
      <c r="N187" s="95" t="inlineStr">
        <is>
          <t>Merck KGaA (DE)</t>
        </is>
      </c>
      <c r="O187" s="93" t="inlineStr">
        <is>
          <t>geschätzt</t>
        </is>
      </c>
      <c r="P187" s="93" t="inlineStr">
        <is>
          <t>Konzern-HQ CH</t>
        </is>
      </c>
      <c r="Q187" s="95" t="inlineStr">
        <is>
          <t>GROSSSTANDORT</t>
        </is>
      </c>
      <c r="R187" s="63" t="n"/>
      <c r="S187" s="63" t="n"/>
      <c r="T187" s="63" t="n"/>
      <c r="U187" s="64" t="n"/>
      <c r="V187" s="97" t="inlineStr">
        <is>
          <t>https://www.sigmaaldrich.com/</t>
        </is>
      </c>
      <c r="W187" s="93" t="inlineStr">
        <is>
          <t>Sigma-Aldrich (Merck Life Science)</t>
        </is>
      </c>
      <c r="X187" s="98" t="inlineStr">
        <is>
          <t>Stellen suchen</t>
        </is>
      </c>
    </row>
    <row r="188" ht="15" customHeight="1" s="57">
      <c r="A188" s="93" t="n">
        <v>187</v>
      </c>
      <c r="B188" s="94" t="inlineStr">
        <is>
          <t>3</t>
        </is>
      </c>
      <c r="C188" s="93" t="inlineStr">
        <is>
          <t>Estun Robotics Europe</t>
        </is>
      </c>
      <c r="D188" s="93" t="inlineStr">
        <is>
          <t>Baar</t>
        </is>
      </c>
      <c r="E188" s="93" t="inlineStr">
        <is>
          <t>ZG</t>
        </is>
      </c>
      <c r="F188" s="95" t="inlineStr">
        <is>
          <t>Industrierobotik</t>
        </is>
      </c>
      <c r="G188" s="95" t="inlineStr">
        <is>
          <t>Europazentrale: Vertrieb, Service, Schulung, Ersatzteile</t>
        </is>
      </c>
      <c r="H188" s="96" t="n"/>
      <c r="I188" s="93" t="inlineStr">
        <is>
          <t>CHF</t>
        </is>
      </c>
      <c r="J188" s="96">
        <f>IF(H188="","",H188*IF(I188="CHF",1,IF(I188="EUR",'Legende &amp; Kriterien'!$C$13,'Legende &amp; Kriterien'!$C$14)))</f>
        <v/>
      </c>
      <c r="K188" s="93">
        <f>IF(P188="Rohstoffhandel","— Handel —",IF(J188="","k.A.",IF(J188&gt;=5000,"A: &gt;5 Mrd.",IF(J188&gt;=3000,"B: 3-5 Mrd.",IF(J188&gt;=1000,"C: 1-3 Mrd.","D: 0.1-1 Mrd.")))))</f>
        <v/>
      </c>
      <c r="L188" s="93" t="inlineStr">
        <is>
          <t>k.A.</t>
        </is>
      </c>
      <c r="M188" s="96" t="n"/>
      <c r="N188" s="95" t="inlineStr">
        <is>
          <t>Estun Automation (CN)</t>
        </is>
      </c>
      <c r="O188" s="93" t="inlineStr">
        <is>
          <t>geschätzt</t>
        </is>
      </c>
      <c r="P188" s="93" t="inlineStr">
        <is>
          <t>Konzern-HQ CH</t>
        </is>
      </c>
      <c r="Q188" s="95" t="inlineStr">
        <is>
          <t>EMEA-HQ</t>
        </is>
      </c>
      <c r="R188" s="63" t="n"/>
      <c r="S188" s="63" t="n"/>
      <c r="T188" s="63" t="n"/>
      <c r="U188" s="64" t="n"/>
      <c r="V188" s="97" t="inlineStr">
        <is>
          <t>https://www.estun.com/</t>
        </is>
      </c>
      <c r="W188" s="93" t="inlineStr">
        <is>
          <t>Estun Robotics Europe</t>
        </is>
      </c>
      <c r="X188" s="98" t="inlineStr">
        <is>
          <t>Stellen suchen</t>
        </is>
      </c>
    </row>
    <row r="189" ht="23.25" customHeight="1" s="57">
      <c r="A189" s="99" t="n">
        <v>188</v>
      </c>
      <c r="B189" s="100" t="inlineStr">
        <is>
          <t>3</t>
        </is>
      </c>
      <c r="C189" s="99" t="inlineStr">
        <is>
          <t>Vitol</t>
        </is>
      </c>
      <c r="D189" s="99" t="inlineStr">
        <is>
          <t>Genf</t>
        </is>
      </c>
      <c r="E189" s="99" t="inlineStr">
        <is>
          <t>GE</t>
        </is>
      </c>
      <c r="F189" s="101" t="inlineStr">
        <is>
          <t>Energiehandel</t>
        </is>
      </c>
      <c r="G189" s="101" t="inlineStr">
        <is>
          <t>Handel mit Rohöl, Produkten, Gas, Strom; Raffinerien</t>
        </is>
      </c>
      <c r="H189" s="102" t="n">
        <v>343000</v>
      </c>
      <c r="I189" s="99" t="inlineStr">
        <is>
          <t>USD</t>
        </is>
      </c>
      <c r="J189" s="102">
        <f>IF(H189="","",H189*IF(I189="CHF",1,IF(I189="EUR",'Legende &amp; Kriterien'!$C$13,'Legende &amp; Kriterien'!$C$14)))</f>
        <v/>
      </c>
      <c r="K189" s="99">
        <f>IF(P189="Rohstoffhandel","— Handel —",IF(J189="","k.A.",IF(J189&gt;=5000,"A: &gt;5 Mrd.",IF(J189&gt;=3000,"B: 3-5 Mrd.",IF(J189&gt;=1000,"C: 1-3 Mrd.","D: 0.1-1 Mrd.")))))</f>
        <v/>
      </c>
      <c r="L189" s="99" t="inlineStr">
        <is>
          <t>2025</t>
        </is>
      </c>
      <c r="M189" s="102" t="n">
        <v>1800</v>
      </c>
      <c r="N189" s="101" t="inlineStr">
        <is>
          <t>Privat, ca. 400 Partner</t>
        </is>
      </c>
      <c r="O189" s="99" t="inlineStr">
        <is>
          <t>Handelsumsatz</t>
        </is>
      </c>
      <c r="P189" s="99" t="inlineStr">
        <is>
          <t>Rohstoffhandel</t>
        </is>
      </c>
      <c r="Q189" s="101" t="inlineStr">
        <is>
          <t>Rechtssitz Rotterdam (NL); Genf und London sind die operativen Zentren</t>
        </is>
      </c>
      <c r="R189" s="63" t="n"/>
      <c r="S189" s="63" t="n"/>
      <c r="T189" s="63" t="n"/>
      <c r="U189" s="64" t="n"/>
      <c r="V189" s="103" t="inlineStr">
        <is>
          <t>https://www.vitol.com/vitol-2025-volumes-and-review/</t>
        </is>
      </c>
      <c r="W189" s="99" t="inlineStr">
        <is>
          <t>Vitol</t>
        </is>
      </c>
      <c r="X189" s="104" t="inlineStr">
        <is>
          <t>Stellen suchen</t>
        </is>
      </c>
    </row>
    <row r="190" ht="15" customHeight="1" s="57">
      <c r="A190" s="99" t="n">
        <v>189</v>
      </c>
      <c r="B190" s="100" t="inlineStr">
        <is>
          <t>2</t>
        </is>
      </c>
      <c r="C190" s="99" t="inlineStr">
        <is>
          <t>Glencore</t>
        </is>
      </c>
      <c r="D190" s="99" t="inlineStr">
        <is>
          <t>Baar</t>
        </is>
      </c>
      <c r="E190" s="99" t="inlineStr">
        <is>
          <t>ZG</t>
        </is>
      </c>
      <c r="F190" s="101" t="inlineStr">
        <is>
          <t>Rohstoffhandel + Bergbau</t>
        </is>
      </c>
      <c r="G190" s="101" t="inlineStr">
        <is>
          <t>Handel und Bergbau von Metallen, Kohle und Öl</t>
        </is>
      </c>
      <c r="H190" s="102" t="n">
        <v>247500</v>
      </c>
      <c r="I190" s="99" t="inlineStr">
        <is>
          <t>USD</t>
        </is>
      </c>
      <c r="J190" s="102">
        <f>IF(H190="","",H190*IF(I190="CHF",1,IF(I190="EUR",'Legende &amp; Kriterien'!$C$13,'Legende &amp; Kriterien'!$C$14)))</f>
        <v/>
      </c>
      <c r="K190" s="99">
        <f>IF(P190="Rohstoffhandel","— Handel —",IF(J190="","k.A.",IF(J190&gt;=5000,"A: &gt;5 Mrd.",IF(J190&gt;=3000,"B: 3-5 Mrd.",IF(J190&gt;=1000,"C: 1-3 Mrd.","D: 0.1-1 Mrd.")))))</f>
        <v/>
      </c>
      <c r="L190" s="99" t="inlineStr">
        <is>
          <t>2025</t>
        </is>
      </c>
      <c r="M190" s="102" t="n">
        <v>140000</v>
      </c>
      <c r="N190" s="101" t="inlineStr">
        <is>
          <t>LSE-kotiert (GLEN)</t>
        </is>
      </c>
      <c r="O190" s="99" t="inlineStr">
        <is>
          <t>Handelsumsatz</t>
        </is>
      </c>
      <c r="P190" s="99" t="inlineStr">
        <is>
          <t>Rohstoffhandel</t>
        </is>
      </c>
      <c r="Q190" s="101" t="inlineStr">
        <is>
          <t>Echter Konzernsitz in Baar. Adj. EBITDA USD 13.5 Mrd.</t>
        </is>
      </c>
      <c r="R190" s="63" t="n"/>
      <c r="S190" s="63" t="n"/>
      <c r="T190" s="63" t="n"/>
      <c r="U190" s="64" t="n"/>
      <c r="V190" s="103" t="inlineStr">
        <is>
          <t>https://www.glencore.com/media-and-insights/news/preliminary-results-2025</t>
        </is>
      </c>
      <c r="W190" s="99" t="inlineStr">
        <is>
          <t>Glencore</t>
        </is>
      </c>
      <c r="X190" s="104" t="inlineStr">
        <is>
          <t>Stellen suchen</t>
        </is>
      </c>
    </row>
    <row r="191" ht="23.25" customHeight="1" s="57">
      <c r="A191" s="99" t="n">
        <v>190</v>
      </c>
      <c r="B191" s="100" t="inlineStr">
        <is>
          <t>3</t>
        </is>
      </c>
      <c r="C191" s="99" t="inlineStr">
        <is>
          <t>Trafigura</t>
        </is>
      </c>
      <c r="D191" s="99" t="inlineStr">
        <is>
          <t>Genf</t>
        </is>
      </c>
      <c r="E191" s="99" t="inlineStr">
        <is>
          <t>GE</t>
        </is>
      </c>
      <c r="F191" s="101" t="inlineStr">
        <is>
          <t>Energie-/Metallhandel</t>
        </is>
      </c>
      <c r="G191" s="101" t="inlineStr">
        <is>
          <t>Handel mit Öl, Metallen, Erzen; Logistik und Beteiligungen</t>
        </is>
      </c>
      <c r="H191" s="102" t="n">
        <v>240268</v>
      </c>
      <c r="I191" s="99" t="inlineStr">
        <is>
          <t>USD</t>
        </is>
      </c>
      <c r="J191" s="102">
        <f>IF(H191="","",H191*IF(I191="CHF",1,IF(I191="EUR",'Legende &amp; Kriterien'!$C$13,'Legende &amp; Kriterien'!$C$14)))</f>
        <v/>
      </c>
      <c r="K191" s="99">
        <f>IF(P191="Rohstoffhandel","— Handel —",IF(J191="","k.A.",IF(J191&gt;=5000,"A: &gt;5 Mrd.",IF(J191&gt;=3000,"B: 3-5 Mrd.",IF(J191&gt;=1000,"C: 1-3 Mrd.","D: 0.1-1 Mrd.")))))</f>
        <v/>
      </c>
      <c r="L191" s="99" t="inlineStr">
        <is>
          <t>2024/25</t>
        </is>
      </c>
      <c r="M191" s="102" t="n">
        <v>14500</v>
      </c>
      <c r="N191" s="101" t="inlineStr">
        <is>
          <t>Privat, im Besitz von ca. 1'400 Mitarbeitenden</t>
        </is>
      </c>
      <c r="O191" s="99" t="inlineStr">
        <is>
          <t>Handelsumsatz</t>
        </is>
      </c>
      <c r="P191" s="99" t="inlineStr">
        <is>
          <t>Rohstoffhandel</t>
        </is>
      </c>
      <c r="Q191" s="101" t="inlineStr">
        <is>
          <t>Konzernsitz Singapur; Genf ist der grösste operative Hub</t>
        </is>
      </c>
      <c r="R191" s="63" t="n"/>
      <c r="S191" s="63" t="n"/>
      <c r="T191" s="63" t="n"/>
      <c r="U191" s="64" t="n"/>
      <c r="V191" s="103" t="inlineStr">
        <is>
          <t>https://www.trafigura.com/news-and-insights/press-releases/2025/trafigura-publishes-2025-annual-results/</t>
        </is>
      </c>
      <c r="W191" s="99" t="inlineStr">
        <is>
          <t>Trafigura</t>
        </is>
      </c>
      <c r="X191" s="104" t="inlineStr">
        <is>
          <t>Stellen suchen</t>
        </is>
      </c>
    </row>
    <row r="192" ht="23.25" customHeight="1" s="57">
      <c r="A192" s="99" t="n">
        <v>191</v>
      </c>
      <c r="B192" s="100" t="inlineStr">
        <is>
          <t>3</t>
        </is>
      </c>
      <c r="C192" s="99" t="inlineStr">
        <is>
          <t>Gunvor</t>
        </is>
      </c>
      <c r="D192" s="99" t="inlineStr">
        <is>
          <t>Genf</t>
        </is>
      </c>
      <c r="E192" s="99" t="inlineStr">
        <is>
          <t>GE</t>
        </is>
      </c>
      <c r="F192" s="101" t="inlineStr">
        <is>
          <t>Energiehandel</t>
        </is>
      </c>
      <c r="G192" s="101" t="inlineStr">
        <is>
          <t>Handel mit Rohöl, Produkten, Gas, LNG, Strom und Metallen</t>
        </is>
      </c>
      <c r="H192" s="102" t="n">
        <v>144000</v>
      </c>
      <c r="I192" s="99" t="inlineStr">
        <is>
          <t>USD</t>
        </is>
      </c>
      <c r="J192" s="102">
        <f>IF(H192="","",H192*IF(I192="CHF",1,IF(I192="EUR",'Legende &amp; Kriterien'!$C$13,'Legende &amp; Kriterien'!$C$14)))</f>
        <v/>
      </c>
      <c r="K192" s="99">
        <f>IF(P192="Rohstoffhandel","— Handel —",IF(J192="","k.A.",IF(J192&gt;=5000,"A: &gt;5 Mrd.",IF(J192&gt;=3000,"B: 3-5 Mrd.",IF(J192&gt;=1000,"C: 1-3 Mrd.","D: 0.1-1 Mrd.")))))</f>
        <v/>
      </c>
      <c r="L192" s="99" t="inlineStr">
        <is>
          <t>2025</t>
        </is>
      </c>
      <c r="M192" s="102" t="n">
        <v>2000</v>
      </c>
      <c r="N192" s="101" t="inlineStr">
        <is>
          <t>Seit 12/2025 vollständig im Mitarbeitendenbesitz</t>
        </is>
      </c>
      <c r="O192" s="99" t="inlineStr">
        <is>
          <t>Handelsumsatz</t>
        </is>
      </c>
      <c r="P192" s="99" t="inlineStr">
        <is>
          <t>Rohstoffhandel</t>
        </is>
      </c>
      <c r="Q192" s="101" t="inlineStr">
        <is>
          <t>Operativer Hauptsitz Genf; Rechtsträger auf Zypern registriert</t>
        </is>
      </c>
      <c r="R192" s="63" t="n"/>
      <c r="S192" s="63" t="n"/>
      <c r="T192" s="63" t="n"/>
      <c r="U192" s="64" t="n"/>
      <c r="V192" s="103" t="inlineStr">
        <is>
          <t>https://gunvorgroup.com/financial/gunvor-group-results-2025/</t>
        </is>
      </c>
      <c r="W192" s="99" t="inlineStr">
        <is>
          <t>Gunvor</t>
        </is>
      </c>
      <c r="X192" s="104" t="inlineStr">
        <is>
          <t>Stellen suchen</t>
        </is>
      </c>
    </row>
    <row r="193" ht="23.25" customHeight="1" s="57">
      <c r="A193" s="99" t="n">
        <v>192</v>
      </c>
      <c r="B193" s="100" t="inlineStr">
        <is>
          <t>3</t>
        </is>
      </c>
      <c r="C193" s="99" t="inlineStr">
        <is>
          <t>Bunge Global</t>
        </is>
      </c>
      <c r="D193" s="99" t="inlineStr">
        <is>
          <t>Genf</t>
        </is>
      </c>
      <c r="E193" s="99" t="inlineStr">
        <is>
          <t>GE</t>
        </is>
      </c>
      <c r="F193" s="101" t="inlineStr">
        <is>
          <t>Agrarverarbeitung/-handel</t>
        </is>
      </c>
      <c r="G193" s="101" t="inlineStr">
        <is>
          <t>Verarbeitung und Handel von Ölsaaten, Getreide und Speiseölen</t>
        </is>
      </c>
      <c r="H193" s="102" t="n">
        <v>70326</v>
      </c>
      <c r="I193" s="99" t="inlineStr">
        <is>
          <t>USD</t>
        </is>
      </c>
      <c r="J193" s="102">
        <f>IF(H193="","",H193*IF(I193="CHF",1,IF(I193="EUR",'Legende &amp; Kriterien'!$C$13,'Legende &amp; Kriterien'!$C$14)))</f>
        <v/>
      </c>
      <c r="K193" s="99">
        <f>IF(P193="Rohstoffhandel","— Handel —",IF(J193="","k.A.",IF(J193&gt;=5000,"A: &gt;5 Mrd.",IF(J193&gt;=3000,"B: 3-5 Mrd.",IF(J193&gt;=1000,"C: 1-3 Mrd.","D: 0.1-1 Mrd.")))))</f>
        <v/>
      </c>
      <c r="L193" s="99" t="inlineStr">
        <is>
          <t>2025</t>
        </is>
      </c>
      <c r="M193" s="102" t="n">
        <v>34000</v>
      </c>
      <c r="N193" s="101" t="inlineStr">
        <is>
          <t>NYSE-kotiert (BG)</t>
        </is>
      </c>
      <c r="O193" s="99" t="inlineStr">
        <is>
          <t>publiziert</t>
        </is>
      </c>
      <c r="P193" s="99" t="inlineStr">
        <is>
          <t>Rohstoffhandel</t>
        </is>
      </c>
      <c r="Q193" s="101" t="inlineStr">
        <is>
          <t>Statutarischer Sitz Genf, operative Zentrale St. Louis. Viterra-Fusion 07/2025 vollzogen.</t>
        </is>
      </c>
      <c r="R193" s="63" t="n"/>
      <c r="S193" s="63" t="n"/>
      <c r="T193" s="63" t="n"/>
      <c r="U193" s="64" t="n"/>
      <c r="V193" s="103" t="inlineStr">
        <is>
          <t>https://www.bunge.com/investors</t>
        </is>
      </c>
      <c r="W193" s="99" t="inlineStr">
        <is>
          <t>Bunge Global</t>
        </is>
      </c>
      <c r="X193" s="104" t="inlineStr">
        <is>
          <t>Stellen suchen</t>
        </is>
      </c>
    </row>
    <row r="194" ht="23.25" customHeight="1" s="57">
      <c r="A194" s="99" t="n">
        <v>193</v>
      </c>
      <c r="B194" s="100" t="inlineStr">
        <is>
          <t>3</t>
        </is>
      </c>
      <c r="C194" s="99" t="inlineStr">
        <is>
          <t>Louis Dreyfus Company</t>
        </is>
      </c>
      <c r="D194" s="99" t="inlineStr">
        <is>
          <t>Genf</t>
        </is>
      </c>
      <c r="E194" s="99" t="inlineStr">
        <is>
          <t>GE</t>
        </is>
      </c>
      <c r="F194" s="101" t="inlineStr">
        <is>
          <t>Agrarhandel</t>
        </is>
      </c>
      <c r="G194" s="101" t="inlineStr">
        <is>
          <t>Handel und Verarbeitung von Getreide, Ölsaaten, Kaffee, Zucker, Baumwolle</t>
        </is>
      </c>
      <c r="H194" s="102" t="n">
        <v>53200</v>
      </c>
      <c r="I194" s="99" t="inlineStr">
        <is>
          <t>USD</t>
        </is>
      </c>
      <c r="J194" s="102">
        <f>IF(H194="","",H194*IF(I194="CHF",1,IF(I194="EUR",'Legende &amp; Kriterien'!$C$13,'Legende &amp; Kriterien'!$C$14)))</f>
        <v/>
      </c>
      <c r="K194" s="99">
        <f>IF(P194="Rohstoffhandel","— Handel —",IF(J194="","k.A.",IF(J194&gt;=5000,"A: &gt;5 Mrd.",IF(J194&gt;=3000,"B: 3-5 Mrd.",IF(J194&gt;=1000,"C: 1-3 Mrd.","D: 0.1-1 Mrd.")))))</f>
        <v/>
      </c>
      <c r="L194" s="99" t="inlineStr">
        <is>
          <t>2025</t>
        </is>
      </c>
      <c r="M194" s="102" t="n">
        <v>20000</v>
      </c>
      <c r="N194" s="101" t="inlineStr">
        <is>
          <t>Familienholding Louis-Dreyfus + ADQ</t>
        </is>
      </c>
      <c r="O194" s="99" t="inlineStr">
        <is>
          <t>Handelsumsatz</t>
        </is>
      </c>
      <c r="P194" s="99" t="inlineStr">
        <is>
          <t>Rohstoffhandel</t>
        </is>
      </c>
      <c r="Q194" s="101" t="inlineStr">
        <is>
          <t>Konzernsitz Rotterdam (NL); Genf ist grosser operativer Standort</t>
        </is>
      </c>
      <c r="R194" s="63" t="n"/>
      <c r="S194" s="63" t="n"/>
      <c r="T194" s="63" t="n"/>
      <c r="U194" s="64" t="n"/>
      <c r="V194" s="103" t="inlineStr">
        <is>
          <t>https://www.ldc.com/press-releases/louis-dreyfus-company-reports-resilient-2025-results/</t>
        </is>
      </c>
      <c r="W194" s="99" t="inlineStr">
        <is>
          <t>Louis Dreyfus Company</t>
        </is>
      </c>
      <c r="X194" s="104" t="inlineStr">
        <is>
          <t>Stellen suchen</t>
        </is>
      </c>
    </row>
    <row r="195" ht="23.25" customHeight="1" s="57">
      <c r="A195" s="99" t="n">
        <v>194</v>
      </c>
      <c r="B195" s="100" t="inlineStr">
        <is>
          <t>2</t>
        </is>
      </c>
      <c r="C195" s="99" t="inlineStr">
        <is>
          <t>MET Group</t>
        </is>
      </c>
      <c r="D195" s="99" t="inlineStr">
        <is>
          <t>Baar</t>
        </is>
      </c>
      <c r="E195" s="99" t="inlineStr">
        <is>
          <t>ZG</t>
        </is>
      </c>
      <c r="F195" s="101" t="inlineStr">
        <is>
          <t>Energiehandel/Versorger</t>
        </is>
      </c>
      <c r="G195" s="101" t="inlineStr">
        <is>
          <t>Handel und Vertrieb von Erdgas, LNG und Strom; erneuerbare Erzeugung</t>
        </is>
      </c>
      <c r="H195" s="102" t="n">
        <v>28600</v>
      </c>
      <c r="I195" s="99" t="inlineStr">
        <is>
          <t>EUR</t>
        </is>
      </c>
      <c r="J195" s="102">
        <f>IF(H195="","",H195*IF(I195="CHF",1,IF(I195="EUR",'Legende &amp; Kriterien'!$C$13,'Legende &amp; Kriterien'!$C$14)))</f>
        <v/>
      </c>
      <c r="K195" s="99">
        <f>IF(P195="Rohstoffhandel","— Handel —",IF(J195="","k.A.",IF(J195&gt;=5000,"A: &gt;5 Mrd.",IF(J195&gt;=3000,"B: 3-5 Mrd.",IF(J195&gt;=1000,"C: 1-3 Mrd.","D: 0.1-1 Mrd.")))))</f>
        <v/>
      </c>
      <c r="L195" s="99" t="inlineStr">
        <is>
          <t>2025</t>
        </is>
      </c>
      <c r="M195" s="102" t="n">
        <v>1400</v>
      </c>
      <c r="N195" s="101" t="inlineStr">
        <is>
          <t>MET Capital Partners (B. Lakatos), Keppel 10%</t>
        </is>
      </c>
      <c r="O195" s="99" t="inlineStr">
        <is>
          <t>Handelsumsatz</t>
        </is>
      </c>
      <c r="P195" s="99" t="inlineStr">
        <is>
          <t>Rohstoffhandel</t>
        </is>
      </c>
      <c r="Q195" s="101" t="inlineStr">
        <is>
          <t>Echter Hauptsitz in Baar</t>
        </is>
      </c>
      <c r="R195" s="63" t="n"/>
      <c r="S195" s="63" t="n"/>
      <c r="T195" s="63" t="n"/>
      <c r="U195" s="64" t="n"/>
      <c r="V195" s="103" t="inlineStr">
        <is>
          <t>https://met.com/en/media/press-releases/met-group-reports-strong-2025-performance-with-growth-across-core-businesses/</t>
        </is>
      </c>
      <c r="W195" s="99" t="inlineStr">
        <is>
          <t>MET Group</t>
        </is>
      </c>
      <c r="X195" s="104" t="inlineStr">
        <is>
          <t>Stellen suchen</t>
        </is>
      </c>
    </row>
    <row r="196" ht="15" customHeight="1" s="57">
      <c r="A196" s="99" t="n">
        <v>195</v>
      </c>
      <c r="B196" s="100" t="inlineStr">
        <is>
          <t>3</t>
        </is>
      </c>
      <c r="C196" s="99" t="inlineStr">
        <is>
          <t>Duferco</t>
        </is>
      </c>
      <c r="D196" s="99" t="inlineStr">
        <is>
          <t>Lugano</t>
        </is>
      </c>
      <c r="E196" s="99" t="inlineStr">
        <is>
          <t>TI</t>
        </is>
      </c>
      <c r="F196" s="101" t="inlineStr">
        <is>
          <t>Stahl-/Energiehandel</t>
        </is>
      </c>
      <c r="G196" s="101" t="inlineStr">
        <is>
          <t>Handel mit Energie und Stahl, Stahlproduktion, Schifffahrt</t>
        </is>
      </c>
      <c r="H196" s="102" t="n">
        <v>26900</v>
      </c>
      <c r="I196" s="99" t="inlineStr">
        <is>
          <t>USD</t>
        </is>
      </c>
      <c r="J196" s="102">
        <f>IF(H196="","",H196*IF(I196="CHF",1,IF(I196="EUR",'Legende &amp; Kriterien'!$C$13,'Legende &amp; Kriterien'!$C$14)))</f>
        <v/>
      </c>
      <c r="K196" s="99">
        <f>IF(P196="Rohstoffhandel","— Handel —",IF(J196="","k.A.",IF(J196&gt;=5000,"A: &gt;5 Mrd.",IF(J196&gt;=3000,"B: 3-5 Mrd.",IF(J196&gt;=1000,"C: 1-3 Mrd.","D: 0.1-1 Mrd.")))))</f>
        <v/>
      </c>
      <c r="L196" s="99" t="inlineStr">
        <is>
          <t>2025</t>
        </is>
      </c>
      <c r="M196" s="102" t="n">
        <v>4029</v>
      </c>
      <c r="N196" s="101" t="inlineStr">
        <is>
          <t>Privat (Familie Gozzi und Partner)</t>
        </is>
      </c>
      <c r="O196" s="99" t="inlineStr">
        <is>
          <t>Handelsumsatz</t>
        </is>
      </c>
      <c r="P196" s="99" t="inlineStr">
        <is>
          <t>Rohstoffhandel</t>
        </is>
      </c>
      <c r="Q196" s="101" t="inlineStr">
        <is>
          <t>Konzernholding Luxemburg; Lugano ist das operative Zentrum</t>
        </is>
      </c>
      <c r="R196" s="63" t="n"/>
      <c r="S196" s="63" t="n"/>
      <c r="T196" s="63" t="n"/>
      <c r="U196" s="64" t="n"/>
      <c r="V196" s="103" t="inlineStr">
        <is>
          <t>https://www.duferco.com/duferco-revenues-2025/</t>
        </is>
      </c>
      <c r="W196" s="99" t="inlineStr">
        <is>
          <t>Duferco</t>
        </is>
      </c>
      <c r="X196" s="104" t="inlineStr">
        <is>
          <t>Stellen suchen</t>
        </is>
      </c>
    </row>
    <row r="197" ht="15" customHeight="1" s="57">
      <c r="A197" s="99" t="n">
        <v>196</v>
      </c>
      <c r="B197" s="100" t="inlineStr">
        <is>
          <t>3</t>
        </is>
      </c>
      <c r="C197" s="99" t="inlineStr">
        <is>
          <t>Ameropa</t>
        </is>
      </c>
      <c r="D197" s="99" t="inlineStr">
        <is>
          <t>Binningen</t>
        </is>
      </c>
      <c r="E197" s="99" t="inlineStr">
        <is>
          <t>BL</t>
        </is>
      </c>
      <c r="F197" s="101" t="inlineStr">
        <is>
          <t>Agrar-/Düngerhandel</t>
        </is>
      </c>
      <c r="G197" s="101" t="inlineStr">
        <is>
          <t>Handel mit Düngemitteln, Getreide und Ölsaaten; Hafenlogistik</t>
        </is>
      </c>
      <c r="H197" s="102" t="n">
        <v>7600</v>
      </c>
      <c r="I197" s="99" t="inlineStr">
        <is>
          <t>CHF</t>
        </is>
      </c>
      <c r="J197" s="102">
        <f>IF(H197="","",H197*IF(I197="CHF",1,IF(I197="EUR",'Legende &amp; Kriterien'!$C$13,'Legende &amp; Kriterien'!$C$14)))</f>
        <v/>
      </c>
      <c r="K197" s="99">
        <f>IF(P197="Rohstoffhandel","— Handel —",IF(J197="","k.A.",IF(J197&gt;=5000,"A: &gt;5 Mrd.",IF(J197&gt;=3000,"B: 3-5 Mrd.",IF(J197&gt;=1000,"C: 1-3 Mrd.","D: 0.1-1 Mrd.")))))</f>
        <v/>
      </c>
      <c r="L197" s="99" t="inlineStr">
        <is>
          <t>2025</t>
        </is>
      </c>
      <c r="M197" s="102" t="n"/>
      <c r="N197" s="101" t="inlineStr">
        <is>
          <t>Familie Zivy, privat</t>
        </is>
      </c>
      <c r="O197" s="99" t="inlineStr">
        <is>
          <t>Handelsumsatz</t>
        </is>
      </c>
      <c r="P197" s="99" t="inlineStr">
        <is>
          <t>Rohstoffhandel</t>
        </is>
      </c>
      <c r="Q197" s="101" t="inlineStr">
        <is>
          <t>Echter Hauptsitz</t>
        </is>
      </c>
      <c r="R197" s="63" t="n"/>
      <c r="S197" s="63" t="n"/>
      <c r="T197" s="63" t="n"/>
      <c r="U197" s="64" t="n"/>
      <c r="V197" s="103" t="inlineStr">
        <is>
          <t>https://www.ameropa.com/news/news/news-ameropa-announces-double-digit-sales-growth-in-2025-as-well-as-strengthening-of-its-finances-and-operations</t>
        </is>
      </c>
      <c r="W197" s="99" t="inlineStr">
        <is>
          <t>Ameropa</t>
        </is>
      </c>
      <c r="X197" s="104" t="inlineStr">
        <is>
          <t>Stellen suchen</t>
        </is>
      </c>
    </row>
    <row r="198" ht="23.25" customHeight="1" s="57">
      <c r="A198" s="99" t="n">
        <v>197</v>
      </c>
      <c r="B198" s="100" t="inlineStr">
        <is>
          <t>3</t>
        </is>
      </c>
      <c r="C198" s="99" t="inlineStr">
        <is>
          <t>Kolmar Group</t>
        </is>
      </c>
      <c r="D198" s="99" t="inlineStr">
        <is>
          <t>Zug</t>
        </is>
      </c>
      <c r="E198" s="99" t="inlineStr">
        <is>
          <t>ZG</t>
        </is>
      </c>
      <c r="F198" s="101" t="inlineStr">
        <is>
          <t>Petrochemie-/Biofuel-Handel</t>
        </is>
      </c>
      <c r="G198" s="101" t="inlineStr">
        <is>
          <t>Handel und Produktion von Petrochemikalien, Biokraftstoffen, Kunststoffen</t>
        </is>
      </c>
      <c r="H198" s="102" t="n">
        <v>5000</v>
      </c>
      <c r="I198" s="99" t="inlineStr">
        <is>
          <t>USD</t>
        </is>
      </c>
      <c r="J198" s="102">
        <f>IF(H198="","",H198*IF(I198="CHF",1,IF(I198="EUR",'Legende &amp; Kriterien'!$C$13,'Legende &amp; Kriterien'!$C$14)))</f>
        <v/>
      </c>
      <c r="K198" s="99">
        <f>IF(P198="Rohstoffhandel","— Handel —",IF(J198="","k.A.",IF(J198&gt;=5000,"A: &gt;5 Mrd.",IF(J198&gt;=3000,"B: 3-5 Mrd.",IF(J198&gt;=1000,"C: 1-3 Mrd.","D: 0.1-1 Mrd.")))))</f>
        <v/>
      </c>
      <c r="L198" s="99" t="inlineStr">
        <is>
          <t>k.A.</t>
        </is>
      </c>
      <c r="M198" s="102" t="n"/>
      <c r="N198" s="101" t="inlineStr">
        <is>
          <t>Privat, nicht kotiert</t>
        </is>
      </c>
      <c r="O198" s="99" t="inlineStr">
        <is>
          <t>Handelsumsatz</t>
        </is>
      </c>
      <c r="P198" s="99" t="inlineStr">
        <is>
          <t>Rohstoffhandel</t>
        </is>
      </c>
      <c r="Q198" s="101" t="inlineStr">
        <is>
          <t>Echter Hauptsitz</t>
        </is>
      </c>
      <c r="R198" s="63" t="n"/>
      <c r="S198" s="63" t="n"/>
      <c r="T198" s="63" t="n"/>
      <c r="U198" s="64" t="n"/>
      <c r="V198" s="103" t="inlineStr">
        <is>
          <t>https://www.kolmargroup.com/news/</t>
        </is>
      </c>
      <c r="W198" s="99" t="inlineStr">
        <is>
          <t>Kolmar Group</t>
        </is>
      </c>
      <c r="X198" s="104" t="inlineStr">
        <is>
          <t>Stellen suchen</t>
        </is>
      </c>
    </row>
    <row r="199" ht="23.25" customHeight="1" s="57">
      <c r="A199" s="99" t="n">
        <v>198</v>
      </c>
      <c r="B199" s="100" t="inlineStr">
        <is>
          <t>3</t>
        </is>
      </c>
      <c r="C199" s="99" t="inlineStr">
        <is>
          <t>Cargill International</t>
        </is>
      </c>
      <c r="D199" s="99" t="inlineStr">
        <is>
          <t>Grand-Lancy (Genf)</t>
        </is>
      </c>
      <c r="E199" s="99" t="inlineStr">
        <is>
          <t>GE</t>
        </is>
      </c>
      <c r="F199" s="101" t="inlineStr">
        <is>
          <t>Agrarhandel/Schifffahrt</t>
        </is>
      </c>
      <c r="G199" s="101" t="inlineStr">
        <is>
          <t>Globaler Getreide- und Ölsaatenhandel, Seefracht, Trade Finance</t>
        </is>
      </c>
      <c r="H199" s="102" t="n"/>
      <c r="I199" s="99" t="inlineStr">
        <is>
          <t>USD</t>
        </is>
      </c>
      <c r="J199" s="102">
        <f>IF(H199="","",H199*IF(I199="CHF",1,IF(I199="EUR",'Legende &amp; Kriterien'!$C$13,'Legende &amp; Kriterien'!$C$14)))</f>
        <v/>
      </c>
      <c r="K199" s="99">
        <f>IF(P199="Rohstoffhandel","— Handel —",IF(J199="","k.A.",IF(J199&gt;=5000,"A: &gt;5 Mrd.",IF(J199&gt;=3000,"B: 3-5 Mrd.",IF(J199&gt;=1000,"C: 1-3 Mrd.","D: 0.1-1 Mrd.")))))</f>
        <v/>
      </c>
      <c r="L199" s="99" t="inlineStr">
        <is>
          <t>k.A.</t>
        </is>
      </c>
      <c r="M199" s="102" t="n">
        <v>350</v>
      </c>
      <c r="N199" s="101" t="inlineStr">
        <is>
          <t>Cargill Inc. (US), Familienbesitz</t>
        </is>
      </c>
      <c r="O199" s="99" t="inlineStr">
        <is>
          <t>geschätzt</t>
        </is>
      </c>
      <c r="P199" s="99" t="inlineStr">
        <is>
          <t>Rohstoffhandel</t>
        </is>
      </c>
      <c r="Q199" s="101" t="inlineStr">
        <is>
          <t>Konzernsitz Minnetonka (USA); Genf ist globales HQ für Getreide und Fracht</t>
        </is>
      </c>
      <c r="R199" s="63" t="n"/>
      <c r="S199" s="63" t="n"/>
      <c r="T199" s="63" t="n"/>
      <c r="U199" s="64" t="n"/>
      <c r="V199" s="103" t="inlineStr">
        <is>
          <t>https://www.cargill.com/worldwide/switzerland-en</t>
        </is>
      </c>
      <c r="W199" s="99" t="inlineStr">
        <is>
          <t>Cargill International</t>
        </is>
      </c>
      <c r="X199" s="104" t="inlineStr">
        <is>
          <t>Stellen suchen</t>
        </is>
      </c>
    </row>
    <row r="200" ht="23.25" customHeight="1" s="57">
      <c r="A200" s="99" t="n">
        <v>199</v>
      </c>
      <c r="B200" s="100" t="inlineStr">
        <is>
          <t>3</t>
        </is>
      </c>
      <c r="C200" s="99" t="inlineStr">
        <is>
          <t>Mercuria</t>
        </is>
      </c>
      <c r="D200" s="99" t="inlineStr">
        <is>
          <t>Genf</t>
        </is>
      </c>
      <c r="E200" s="99" t="inlineStr">
        <is>
          <t>GE</t>
        </is>
      </c>
      <c r="F200" s="101" t="inlineStr">
        <is>
          <t>Energie-/Metallhandel</t>
        </is>
      </c>
      <c r="G200" s="101" t="inlineStr">
        <is>
          <t>Handel mit Öl, Gas, LNG, Strom, Metallen und Agrarrohstoffen</t>
        </is>
      </c>
      <c r="H200" s="102" t="n"/>
      <c r="I200" s="99" t="inlineStr">
        <is>
          <t>USD</t>
        </is>
      </c>
      <c r="J200" s="102">
        <f>IF(H200="","",H200*IF(I200="CHF",1,IF(I200="EUR",'Legende &amp; Kriterien'!$C$13,'Legende &amp; Kriterien'!$C$14)))</f>
        <v/>
      </c>
      <c r="K200" s="99">
        <f>IF(P200="Rohstoffhandel","— Handel —",IF(J200="","k.A.",IF(J200&gt;=5000,"A: &gt;5 Mrd.",IF(J200&gt;=3000,"B: 3-5 Mrd.",IF(J200&gt;=1000,"C: 1-3 Mrd.","D: 0.1-1 Mrd.")))))</f>
        <v/>
      </c>
      <c r="L200" s="99" t="inlineStr">
        <is>
          <t>k.A.</t>
        </is>
      </c>
      <c r="M200" s="102" t="n"/>
      <c r="N200" s="101" t="inlineStr">
        <is>
          <t>Privat: Gründer Dunand/Jaeggi</t>
        </is>
      </c>
      <c r="O200" s="99" t="inlineStr">
        <is>
          <t>geschätzt</t>
        </is>
      </c>
      <c r="P200" s="99" t="inlineStr">
        <is>
          <t>Rohstoffhandel</t>
        </is>
      </c>
      <c r="Q200" s="101" t="inlineStr">
        <is>
          <t>Echter Hauptsitz. Publiziert keinen Umsatz; Nettogewinn 2025 laut Medien USD 1.3 Mrd.</t>
        </is>
      </c>
      <c r="R200" s="63" t="n"/>
      <c r="S200" s="63" t="n"/>
      <c r="T200" s="63" t="n"/>
      <c r="U200" s="64" t="n"/>
      <c r="V200" s="103" t="inlineStr">
        <is>
          <t>https://mercuria.com/media-room/our-performance/</t>
        </is>
      </c>
      <c r="W200" s="99" t="inlineStr">
        <is>
          <t>Mercuria</t>
        </is>
      </c>
      <c r="X200" s="104" t="inlineStr">
        <is>
          <t>Stellen suchen</t>
        </is>
      </c>
    </row>
    <row r="201" ht="23.25" customHeight="1" s="57">
      <c r="A201" s="99" t="n">
        <v>200</v>
      </c>
      <c r="B201" s="100" t="inlineStr">
        <is>
          <t>3</t>
        </is>
      </c>
      <c r="C201" s="99" t="inlineStr">
        <is>
          <t>ECOM Agroindustrial</t>
        </is>
      </c>
      <c r="D201" s="99" t="inlineStr">
        <is>
          <t>Pully</t>
        </is>
      </c>
      <c r="E201" s="99" t="inlineStr">
        <is>
          <t>VD</t>
        </is>
      </c>
      <c r="F201" s="101" t="inlineStr">
        <is>
          <t>Agrarhandel</t>
        </is>
      </c>
      <c r="G201" s="101" t="inlineStr">
        <is>
          <t>Beschaffung, Vermahlung und Handel von Kaffee, Kakao, Baumwolle</t>
        </is>
      </c>
      <c r="H201" s="102" t="n"/>
      <c r="I201" s="99" t="inlineStr">
        <is>
          <t>USD</t>
        </is>
      </c>
      <c r="J201" s="102">
        <f>IF(H201="","",H201*IF(I201="CHF",1,IF(I201="EUR",'Legende &amp; Kriterien'!$C$13,'Legende &amp; Kriterien'!$C$14)))</f>
        <v/>
      </c>
      <c r="K201" s="99">
        <f>IF(P201="Rohstoffhandel","— Handel —",IF(J201="","k.A.",IF(J201&gt;=5000,"A: &gt;5 Mrd.",IF(J201&gt;=3000,"B: 3-5 Mrd.",IF(J201&gt;=1000,"C: 1-3 Mrd.","D: 0.1-1 Mrd.")))))</f>
        <v/>
      </c>
      <c r="L201" s="99" t="inlineStr">
        <is>
          <t>k.A.</t>
        </is>
      </c>
      <c r="M201" s="102" t="n">
        <v>6000</v>
      </c>
      <c r="N201" s="101" t="inlineStr">
        <is>
          <t>Privat (Familie Esteve)</t>
        </is>
      </c>
      <c r="O201" s="99" t="inlineStr">
        <is>
          <t>geschätzt</t>
        </is>
      </c>
      <c r="P201" s="99" t="inlineStr">
        <is>
          <t>Rohstoffhandel</t>
        </is>
      </c>
      <c r="Q201" s="101" t="inlineStr">
        <is>
          <t>Echter Hauptsitz</t>
        </is>
      </c>
      <c r="R201" s="63" t="n"/>
      <c r="S201" s="63" t="n"/>
      <c r="T201" s="63" t="n"/>
      <c r="U201" s="64" t="n"/>
      <c r="V201" s="103" t="inlineStr">
        <is>
          <t>https://www.ecomtrading.com/</t>
        </is>
      </c>
      <c r="W201" s="99" t="inlineStr">
        <is>
          <t>ECOM Agroindustrial</t>
        </is>
      </c>
      <c r="X201" s="104" t="inlineStr">
        <is>
          <t>Stellen suchen</t>
        </is>
      </c>
    </row>
    <row r="202" ht="15" customHeight="1" s="57">
      <c r="A202" s="99" t="n">
        <v>201</v>
      </c>
      <c r="B202" s="100" t="inlineStr">
        <is>
          <t>3</t>
        </is>
      </c>
      <c r="C202" s="99" t="inlineStr">
        <is>
          <t>IXM</t>
        </is>
      </c>
      <c r="D202" s="99" t="inlineStr">
        <is>
          <t>Genf</t>
        </is>
      </c>
      <c r="E202" s="99" t="inlineStr">
        <is>
          <t>GE</t>
        </is>
      </c>
      <c r="F202" s="101" t="inlineStr">
        <is>
          <t>Metallhandel</t>
        </is>
      </c>
      <c r="G202" s="101" t="inlineStr">
        <is>
          <t>Handel mit Kupfer-, Blei-, Zinkkonzentraten und Raffinademetallen</t>
        </is>
      </c>
      <c r="H202" s="102" t="n"/>
      <c r="I202" s="99" t="inlineStr">
        <is>
          <t>USD</t>
        </is>
      </c>
      <c r="J202" s="102">
        <f>IF(H202="","",H202*IF(I202="CHF",1,IF(I202="EUR",'Legende &amp; Kriterien'!$C$13,'Legende &amp; Kriterien'!$C$14)))</f>
        <v/>
      </c>
      <c r="K202" s="99">
        <f>IF(P202="Rohstoffhandel","— Handel —",IF(J202="","k.A.",IF(J202&gt;=5000,"A: &gt;5 Mrd.",IF(J202&gt;=3000,"B: 3-5 Mrd.",IF(J202&gt;=1000,"C: 1-3 Mrd.","D: 0.1-1 Mrd.")))))</f>
        <v/>
      </c>
      <c r="L202" s="99" t="inlineStr">
        <is>
          <t>k.A.</t>
        </is>
      </c>
      <c r="M202" s="102" t="n"/>
      <c r="N202" s="101" t="inlineStr">
        <is>
          <t>CMOC Group (China, kotiert)</t>
        </is>
      </c>
      <c r="O202" s="99" t="inlineStr">
        <is>
          <t>geschätzt</t>
        </is>
      </c>
      <c r="P202" s="99" t="inlineStr">
        <is>
          <t>Rohstoffhandel</t>
        </is>
      </c>
      <c r="Q202" s="101" t="inlineStr">
        <is>
          <t>Operativer Hauptsitz Genf; Entscheidungen bei CMOC in China</t>
        </is>
      </c>
      <c r="R202" s="63" t="n"/>
      <c r="S202" s="63" t="n"/>
      <c r="T202" s="63" t="n"/>
      <c r="U202" s="64" t="n"/>
      <c r="V202" s="103" t="inlineStr">
        <is>
          <t>https://en.cmoc.com/html/Business/IXM/</t>
        </is>
      </c>
      <c r="W202" s="99" t="inlineStr">
        <is>
          <t>IXM</t>
        </is>
      </c>
      <c r="X202" s="104" t="inlineStr">
        <is>
          <t>Stellen suchen</t>
        </is>
      </c>
    </row>
    <row r="203" ht="15" customHeight="1" s="57">
      <c r="A203" s="99" t="n">
        <v>202</v>
      </c>
      <c r="B203" s="100" t="inlineStr">
        <is>
          <t>3</t>
        </is>
      </c>
      <c r="C203" s="99" t="inlineStr">
        <is>
          <t>Sucafina</t>
        </is>
      </c>
      <c r="D203" s="99" t="inlineStr">
        <is>
          <t>Genf</t>
        </is>
      </c>
      <c r="E203" s="99" t="inlineStr">
        <is>
          <t>GE</t>
        </is>
      </c>
      <c r="F203" s="101" t="inlineStr">
        <is>
          <t>Agrarhandel/Kaffee</t>
        </is>
      </c>
      <c r="G203" s="101" t="inlineStr">
        <is>
          <t>Ursprungsbeschaffung, Handel und Verarbeitung von Rohkaffee</t>
        </is>
      </c>
      <c r="H203" s="102" t="n"/>
      <c r="I203" s="99" t="inlineStr">
        <is>
          <t>USD</t>
        </is>
      </c>
      <c r="J203" s="102">
        <f>IF(H203="","",H203*IF(I203="CHF",1,IF(I203="EUR",'Legende &amp; Kriterien'!$C$13,'Legende &amp; Kriterien'!$C$14)))</f>
        <v/>
      </c>
      <c r="K203" s="99">
        <f>IF(P203="Rohstoffhandel","— Handel —",IF(J203="","k.A.",IF(J203&gt;=5000,"A: &gt;5 Mrd.",IF(J203&gt;=3000,"B: 3-5 Mrd.",IF(J203&gt;=1000,"C: 1-3 Mrd.","D: 0.1-1 Mrd.")))))</f>
        <v/>
      </c>
      <c r="L203" s="99" t="inlineStr">
        <is>
          <t>k.A.</t>
        </is>
      </c>
      <c r="M203" s="102" t="n">
        <v>1500</v>
      </c>
      <c r="N203" s="101" t="inlineStr">
        <is>
          <t>Familienbesitz, privat</t>
        </is>
      </c>
      <c r="O203" s="99" t="inlineStr">
        <is>
          <t>geschätzt</t>
        </is>
      </c>
      <c r="P203" s="99" t="inlineStr">
        <is>
          <t>Rohstoffhandel</t>
        </is>
      </c>
      <c r="Q203" s="101" t="inlineStr">
        <is>
          <t>Echter Hauptsitz</t>
        </is>
      </c>
      <c r="R203" s="63" t="n"/>
      <c r="S203" s="63" t="n"/>
      <c r="T203" s="63" t="n"/>
      <c r="U203" s="64" t="n"/>
      <c r="V203" s="103" t="inlineStr">
        <is>
          <t>https://group.sucafina.com/</t>
        </is>
      </c>
      <c r="W203" s="99" t="inlineStr">
        <is>
          <t>Sucafina</t>
        </is>
      </c>
      <c r="X203" s="104" t="inlineStr">
        <is>
          <t>Stellen suchen</t>
        </is>
      </c>
    </row>
    <row r="204" ht="15" customHeight="1" s="57">
      <c r="A204" s="99" t="n">
        <v>203</v>
      </c>
      <c r="B204" s="100" t="inlineStr">
        <is>
          <t>3</t>
        </is>
      </c>
      <c r="C204" s="99" t="inlineStr">
        <is>
          <t>Alvean</t>
        </is>
      </c>
      <c r="D204" s="99" t="inlineStr">
        <is>
          <t>Genf</t>
        </is>
      </c>
      <c r="E204" s="99" t="inlineStr">
        <is>
          <t>GE</t>
        </is>
      </c>
      <c r="F204" s="101" t="inlineStr">
        <is>
          <t>Agrarhandel/Zucker</t>
        </is>
      </c>
      <c r="G204" s="101" t="inlineStr">
        <is>
          <t>Beschaffung, Vermarktung und Handel von Roh- und Weisszucker</t>
        </is>
      </c>
      <c r="H204" s="102" t="n"/>
      <c r="I204" s="99" t="inlineStr">
        <is>
          <t>USD</t>
        </is>
      </c>
      <c r="J204" s="102">
        <f>IF(H204="","",H204*IF(I204="CHF",1,IF(I204="EUR",'Legende &amp; Kriterien'!$C$13,'Legende &amp; Kriterien'!$C$14)))</f>
        <v/>
      </c>
      <c r="K204" s="99">
        <f>IF(P204="Rohstoffhandel","— Handel —",IF(J204="","k.A.",IF(J204&gt;=5000,"A: &gt;5 Mrd.",IF(J204&gt;=3000,"B: 3-5 Mrd.",IF(J204&gt;=1000,"C: 1-3 Mrd.","D: 0.1-1 Mrd.")))))</f>
        <v/>
      </c>
      <c r="L204" s="99" t="inlineStr">
        <is>
          <t>k.A.</t>
        </is>
      </c>
      <c r="M204" s="102" t="n"/>
      <c r="N204" s="101" t="inlineStr">
        <is>
          <t>Copersucar (Brasilien)</t>
        </is>
      </c>
      <c r="O204" s="99" t="inlineStr">
        <is>
          <t>geschätzt</t>
        </is>
      </c>
      <c r="P204" s="99" t="inlineStr">
        <is>
          <t>Rohstoffhandel</t>
        </is>
      </c>
      <c r="Q204" s="101" t="inlineStr">
        <is>
          <t>Handelszentrale Genf; Rechtsträger Bilbao (ES)</t>
        </is>
      </c>
      <c r="R204" s="63" t="n"/>
      <c r="S204" s="63" t="n"/>
      <c r="T204" s="63" t="n"/>
      <c r="U204" s="64" t="n"/>
      <c r="V204" s="103" t="inlineStr">
        <is>
          <t>https://alvean.com/our-business/</t>
        </is>
      </c>
      <c r="W204" s="99" t="inlineStr">
        <is>
          <t>Alvean</t>
        </is>
      </c>
      <c r="X204" s="104" t="inlineStr">
        <is>
          <t>Stellen suchen</t>
        </is>
      </c>
    </row>
  </sheetData>
  <autoFilter ref="A1:Y204"/>
  <hyperlinks>
    <hyperlink xmlns:r="http://schemas.openxmlformats.org/officeDocument/2006/relationships" ref="V2" display="https://www.abb.com/global/en/company/annual-reporting-suite/key-figures" r:id="rId1"/>
    <hyperlink xmlns:r="http://schemas.openxmlformats.org/officeDocument/2006/relationships" ref="X2" display="Stellen suchen" r:id="rId2"/>
    <hyperlink xmlns:r="http://schemas.openxmlformats.org/officeDocument/2006/relationships" ref="Y2" display="https://www.jobs.ch/en/companies/55089-abb-schweiz-ag/" r:id="rId3"/>
    <hyperlink xmlns:r="http://schemas.openxmlformats.org/officeDocument/2006/relationships" ref="V3" display="https://www.amcor.com/investors" r:id="rId4"/>
    <hyperlink xmlns:r="http://schemas.openxmlformats.org/officeDocument/2006/relationships" ref="X3" display="Stellen suchen" r:id="rId5"/>
    <hyperlink xmlns:r="http://schemas.openxmlformats.org/officeDocument/2006/relationships" ref="V4" display="https://www.hitachienergy.com/company/company-profile" r:id="rId6"/>
    <hyperlink xmlns:r="http://schemas.openxmlformats.org/officeDocument/2006/relationships" ref="X4" display="Stellen suchen" r:id="rId7"/>
    <hyperlink xmlns:r="http://schemas.openxmlformats.org/officeDocument/2006/relationships" ref="Y4" display="https://careers.hitachi.com/search/hitachi-energy/jobs/in/country/switzerland" r:id="rId8"/>
    <hyperlink xmlns:r="http://schemas.openxmlformats.org/officeDocument/2006/relationships" ref="V5" display="https://www.holcim.com/media/media-releases/full-year-2025-results" r:id="rId9"/>
    <hyperlink xmlns:r="http://schemas.openxmlformats.org/officeDocument/2006/relationships" ref="X5" display="Stellen suchen" r:id="rId10"/>
    <hyperlink xmlns:r="http://schemas.openxmlformats.org/officeDocument/2006/relationships" ref="Y5" display="https://careers.holcimgroup.com/search/" r:id="rId11"/>
    <hyperlink xmlns:r="http://schemas.openxmlformats.org/officeDocument/2006/relationships" ref="V6" display="https://www.liebherr.com/en-us/n/liebherr-sees-stable-growth-in-the-2025-business-year-244544-3782185" r:id="rId12"/>
    <hyperlink xmlns:r="http://schemas.openxmlformats.org/officeDocument/2006/relationships" ref="X6" display="Stellen suchen" r:id="rId13"/>
    <hyperlink xmlns:r="http://schemas.openxmlformats.org/officeDocument/2006/relationships" ref="Y6" display="https://www.liebherr.com/de/deu/karriere/offene-stellen/offene-stellen.html" r:id="rId14"/>
    <hyperlink xmlns:r="http://schemas.openxmlformats.org/officeDocument/2006/relationships" ref="V7" display="https://www.sika.com/en/media/media-releases/2026/sika-reports-full-year-2025-results.html" r:id="rId15"/>
    <hyperlink xmlns:r="http://schemas.openxmlformats.org/officeDocument/2006/relationships" ref="X7" display="Stellen suchen" r:id="rId16"/>
    <hyperlink xmlns:r="http://schemas.openxmlformats.org/officeDocument/2006/relationships" ref="V8" display="https://group.schindler.com/en/media/press-releases/annual-results-2025.html" r:id="rId17"/>
    <hyperlink xmlns:r="http://schemas.openxmlformats.org/officeDocument/2006/relationships" ref="X8" display="Stellen suchen" r:id="rId18"/>
    <hyperlink xmlns:r="http://schemas.openxmlformats.org/officeDocument/2006/relationships" ref="Y8" display="https://job.schindler.com/search/" r:id="rId19"/>
    <hyperlink xmlns:r="http://schemas.openxmlformats.org/officeDocument/2006/relationships" ref="V9" display="https://www.globenewswire.com/news-release/2026/01/29/3228178/0/en/STMicroelectronics-Reports-Q4-and-FY-2025-Financial-Results.html" r:id="rId20"/>
    <hyperlink xmlns:r="http://schemas.openxmlformats.org/officeDocument/2006/relationships" ref="X9" display="Stellen suchen" r:id="rId21"/>
    <hyperlink xmlns:r="http://schemas.openxmlformats.org/officeDocument/2006/relationships" ref="V10" display="https://www.alcon.com/investor-relations" r:id="rId22"/>
    <hyperlink xmlns:r="http://schemas.openxmlformats.org/officeDocument/2006/relationships" ref="X10" display="Stellen suchen" r:id="rId23"/>
    <hyperlink xmlns:r="http://schemas.openxmlformats.org/officeDocument/2006/relationships" ref="V11" display="https://www.sgs.com/en/news/2026/02/2025-full-year-results" r:id="rId24"/>
    <hyperlink xmlns:r="http://schemas.openxmlformats.org/officeDocument/2006/relationships" ref="X11" display="Stellen suchen" r:id="rId25"/>
    <hyperlink xmlns:r="http://schemas.openxmlformats.org/officeDocument/2006/relationships" ref="Y11" display="https://careers.smartrecruiters.com/SGS" r:id="rId26"/>
    <hyperlink xmlns:r="http://schemas.openxmlformats.org/officeDocument/2006/relationships" ref="V12" display="https://www.hilti.group/content/hilti/CP/XX/en/company/media-relations/media-releases/2025-business-result.html" r:id="rId27"/>
    <hyperlink xmlns:r="http://schemas.openxmlformats.org/officeDocument/2006/relationships" ref="X12" display="Stellen suchen" r:id="rId28"/>
    <hyperlink xmlns:r="http://schemas.openxmlformats.org/officeDocument/2006/relationships" ref="Y12" display="https://careers.hilti.group/en-us/jobs/" r:id="rId29"/>
    <hyperlink xmlns:r="http://schemas.openxmlformats.org/officeDocument/2006/relationships" ref="V13" display="https://www.swatchgroup.com/en/services/archive/2026/key-figures-2025" r:id="rId30"/>
    <hyperlink xmlns:r="http://schemas.openxmlformats.org/officeDocument/2006/relationships" ref="X13" display="Stellen suchen" r:id="rId31"/>
    <hyperlink xmlns:r="http://schemas.openxmlformats.org/officeDocument/2006/relationships" ref="Y13" display="https://www.swatchgroup.com/en/job-finder" r:id="rId32"/>
    <hyperlink xmlns:r="http://schemas.openxmlformats.org/officeDocument/2006/relationships" ref="V14" display="https://www8.garmin.com/aboutGarmin/invRelations/reports/2025_Form_10-K.pdf" r:id="rId33"/>
    <hyperlink xmlns:r="http://schemas.openxmlformats.org/officeDocument/2006/relationships" ref="X14" display="Stellen suchen" r:id="rId34"/>
    <hyperlink xmlns:r="http://schemas.openxmlformats.org/officeDocument/2006/relationships" ref="V15" display="https://www.georgfischer.com/content/dam/gfcorp/documents/newsroom/media-releases/annual-report-2025/20260225-ad-hoc-announcement-annual-report-2025-en.pdf" r:id="rId35"/>
    <hyperlink xmlns:r="http://schemas.openxmlformats.org/officeDocument/2006/relationships" ref="X15" display="Stellen suchen" r:id="rId36"/>
    <hyperlink xmlns:r="http://schemas.openxmlformats.org/officeDocument/2006/relationships" ref="V16" display="https://www.clariant.com/en/Corporate/News/2026/02/Clariant-delivers-third-year-of-strong-EBITDA-margin-improvement" r:id="rId37"/>
    <hyperlink xmlns:r="http://schemas.openxmlformats.org/officeDocument/2006/relationships" ref="X16" display="Stellen suchen" r:id="rId38"/>
    <hyperlink xmlns:r="http://schemas.openxmlformats.org/officeDocument/2006/relationships" ref="Y16" display="https://careers.clariant.com/search/" r:id="rId39"/>
    <hyperlink xmlns:r="http://schemas.openxmlformats.org/officeDocument/2006/relationships" ref="V17" display="https://www.businesswire.com/news/home/20260505206276/en/Logitech-Announces-Q4-and-Full-Fiscal-Year-2026-Results" r:id="rId40"/>
    <hyperlink xmlns:r="http://schemas.openxmlformats.org/officeDocument/2006/relationships" ref="X17" display="Stellen suchen" r:id="rId41"/>
    <hyperlink xmlns:r="http://schemas.openxmlformats.org/officeDocument/2006/relationships" ref="V18" display="https://www.muehle-mischfutter.de/artikel/endress-hauser-2025-uber-vier-mrd--euro-umsatz" r:id="rId42"/>
    <hyperlink xmlns:r="http://schemas.openxmlformats.org/officeDocument/2006/relationships" ref="X18" display="Stellen suchen" r:id="rId43"/>
    <hyperlink xmlns:r="http://schemas.openxmlformats.org/officeDocument/2006/relationships" ref="V19" display="https://www.stadlerrail.com/en/investors/" r:id="rId44"/>
    <hyperlink xmlns:r="http://schemas.openxmlformats.org/officeDocument/2006/relationships" ref="X19" display="Stellen suchen" r:id="rId45"/>
    <hyperlink xmlns:r="http://schemas.openxmlformats.org/officeDocument/2006/relationships" ref="Y19" display="https://jobs.stadlerrail.ch/" r:id="rId46"/>
    <hyperlink xmlns:r="http://schemas.openxmlformats.org/officeDocument/2006/relationships" ref="V20" display="https://report.sonova.com/2026/en/startpage" r:id="rId47"/>
    <hyperlink xmlns:r="http://schemas.openxmlformats.org/officeDocument/2006/relationships" ref="X20" display="Stellen suchen" r:id="rId48"/>
    <hyperlink xmlns:r="http://schemas.openxmlformats.org/officeDocument/2006/relationships" ref="Y20" display="https://jobs.sonova.com/go/All-Jobs/4577301/" r:id="rId49"/>
    <hyperlink xmlns:r="http://schemas.openxmlformats.org/officeDocument/2006/relationships" ref="V21" display="https://www.sulzer.com/en/-/media/files/news/2026/20260226sulzer-exceeds-chf-550-million-ebitda.pdf" r:id="rId50"/>
    <hyperlink xmlns:r="http://schemas.openxmlformats.org/officeDocument/2006/relationships" ref="X21" display="Stellen suchen" r:id="rId51"/>
    <hyperlink xmlns:r="http://schemas.openxmlformats.org/officeDocument/2006/relationships" ref="V22" display="https://investor.mt.com/news/news-details/2026/Mettler-Toledo-International-Inc--Reports-Fourth-Quarter-2025-Results/default.aspx" r:id="rId52"/>
    <hyperlink xmlns:r="http://schemas.openxmlformats.org/officeDocument/2006/relationships" ref="X22" display="Stellen suchen" r:id="rId53"/>
    <hyperlink xmlns:r="http://schemas.openxmlformats.org/officeDocument/2006/relationships" ref="Y22" display="https://jobs.mt.com/en/search-jobs" r:id="rId54"/>
    <hyperlink xmlns:r="http://schemas.openxmlformats.org/officeDocument/2006/relationships" ref="V23" display="https://www.geberit.com/assets/downloads/media-releases/2026/media-release-annual-results-2025.pdf" r:id="rId55"/>
    <hyperlink xmlns:r="http://schemas.openxmlformats.org/officeDocument/2006/relationships" ref="X23" display="Stellen suchen" r:id="rId56"/>
    <hyperlink xmlns:r="http://schemas.openxmlformats.org/officeDocument/2006/relationships" ref="V24" display="https://ams-osram.com/press/corporate-info" r:id="rId57"/>
    <hyperlink xmlns:r="http://schemas.openxmlformats.org/officeDocument/2006/relationships" ref="X24" display="Stellen suchen" r:id="rId58"/>
    <hyperlink xmlns:r="http://schemas.openxmlformats.org/officeDocument/2006/relationships" ref="V25" display="https://www.sfs.com/ch/en/sfs-group/sfs-at-a-glance/" r:id="rId59"/>
    <hyperlink xmlns:r="http://schemas.openxmlformats.org/officeDocument/2006/relationships" ref="X25" display="Stellen suchen" r:id="rId60"/>
    <hyperlink xmlns:r="http://schemas.openxmlformats.org/officeDocument/2006/relationships" ref="V26" display="https://www.sig.biz/investors" r:id="rId61"/>
    <hyperlink xmlns:r="http://schemas.openxmlformats.org/officeDocument/2006/relationships" ref="X26" display="Stellen suchen" r:id="rId62"/>
    <hyperlink xmlns:r="http://schemas.openxmlformats.org/officeDocument/2006/relationships" ref="V27" display="https://stockanalysis.com/quote/swx/BUCN/financials/" r:id="rId63"/>
    <hyperlink xmlns:r="http://schemas.openxmlformats.org/officeDocument/2006/relationships" ref="X27" display="Stellen suchen" r:id="rId64"/>
    <hyperlink xmlns:r="http://schemas.openxmlformats.org/officeDocument/2006/relationships" ref="V28" display="https://stockanalysis.com/quote/swx/DOKA/financials/" r:id="rId65"/>
    <hyperlink xmlns:r="http://schemas.openxmlformats.org/officeDocument/2006/relationships" ref="X28" display="Stellen suchen" r:id="rId66"/>
    <hyperlink xmlns:r="http://schemas.openxmlformats.org/officeDocument/2006/relationships" ref="V29" display="https://www.moneycab.com/schweiz/buehler-buesst-2025-an-umsatz-ein/" r:id="rId67"/>
    <hyperlink xmlns:r="http://schemas.openxmlformats.org/officeDocument/2006/relationships" ref="X29" display="Stellen suchen" r:id="rId68"/>
    <hyperlink xmlns:r="http://schemas.openxmlformats.org/officeDocument/2006/relationships" ref="V30" display="https://stockanalysis.com/quote/swx/STMN/financials/" r:id="rId69"/>
    <hyperlink xmlns:r="http://schemas.openxmlformats.org/officeDocument/2006/relationships" ref="X30" display="Stellen suchen" r:id="rId70"/>
    <hyperlink xmlns:r="http://schemas.openxmlformats.org/officeDocument/2006/relationships" ref="V31" display="https://www.franke.com/de/de/gruppe/medien/2024/artemis-group-results-2024.html" r:id="rId71"/>
    <hyperlink xmlns:r="http://schemas.openxmlformats.org/officeDocument/2006/relationships" ref="X31" display="Stellen suchen" r:id="rId72"/>
    <hyperlink xmlns:r="http://schemas.openxmlformats.org/officeDocument/2006/relationships" ref="V32" display="https://stockanalysis.com/quote/swx/STLN/revenue/" r:id="rId73"/>
    <hyperlink xmlns:r="http://schemas.openxmlformats.org/officeDocument/2006/relationships" ref="X32" display="Stellen suchen" r:id="rId74"/>
    <hyperlink xmlns:r="http://schemas.openxmlformats.org/officeDocument/2006/relationships" ref="V33" display="https://stockanalysis.com/quote/swx/AUTN/financials/" r:id="rId75"/>
    <hyperlink xmlns:r="http://schemas.openxmlformats.org/officeDocument/2006/relationships" ref="X33" display="Stellen suchen" r:id="rId76"/>
    <hyperlink xmlns:r="http://schemas.openxmlformats.org/officeDocument/2006/relationships" ref="V34" display="https://stockanalysis.com/quote/swx/EMSN/financials/" r:id="rId77"/>
    <hyperlink xmlns:r="http://schemas.openxmlformats.org/officeDocument/2006/relationships" ref="X34" display="Stellen suchen" r:id="rId78"/>
    <hyperlink xmlns:r="http://schemas.openxmlformats.org/officeDocument/2006/relationships" ref="V35" display="https://www.bobst.com/" r:id="rId79"/>
    <hyperlink xmlns:r="http://schemas.openxmlformats.org/officeDocument/2006/relationships" ref="X35" display="Stellen suchen" r:id="rId80"/>
    <hyperlink xmlns:r="http://schemas.openxmlformats.org/officeDocument/2006/relationships" ref="V36" display="https://www.pilatus-aircraft.com/assets/files/PDF/GB-2025/Pilatus-Geschaeftsbericht-2025.pdf" r:id="rId81"/>
    <hyperlink xmlns:r="http://schemas.openxmlformats.org/officeDocument/2006/relationships" ref="X36" display="Stellen suchen" r:id="rId82"/>
    <hyperlink xmlns:r="http://schemas.openxmlformats.org/officeDocument/2006/relationships" ref="V37" display="https://www.staubli.com/ch/de/home.html" r:id="rId83"/>
    <hyperlink xmlns:r="http://schemas.openxmlformats.org/officeDocument/2006/relationships" ref="X37" display="Stellen suchen" r:id="rId84"/>
    <hyperlink xmlns:r="http://schemas.openxmlformats.org/officeDocument/2006/relationships" ref="Y37" display="https://careers.smartrecruiters.com/staubligroup" r:id="rId85"/>
    <hyperlink xmlns:r="http://schemas.openxmlformats.org/officeDocument/2006/relationships" ref="V38" display="https://stockanalysis.com/quote/swx/OERL/financials/" r:id="rId86"/>
    <hyperlink xmlns:r="http://schemas.openxmlformats.org/officeDocument/2006/relationships" ref="X38" display="Stellen suchen" r:id="rId87"/>
    <hyperlink xmlns:r="http://schemas.openxmlformats.org/officeDocument/2006/relationships" ref="V39" display="https://www.aebi-schmidt.com/en/investors" r:id="rId88"/>
    <hyperlink xmlns:r="http://schemas.openxmlformats.org/officeDocument/2006/relationships" ref="X39" display="Stellen suchen" r:id="rId89"/>
    <hyperlink xmlns:r="http://schemas.openxmlformats.org/officeDocument/2006/relationships" ref="V40" display="https://www.grinding.ch/" r:id="rId90"/>
    <hyperlink xmlns:r="http://schemas.openxmlformats.org/officeDocument/2006/relationships" ref="X40" display="Stellen suchen" r:id="rId91"/>
    <hyperlink xmlns:r="http://schemas.openxmlformats.org/officeDocument/2006/relationships" ref="V41" display="https://www.weltmarktfuehrerindex.de/profil/ammann" r:id="rId92"/>
    <hyperlink xmlns:r="http://schemas.openxmlformats.org/officeDocument/2006/relationships" ref="X41" display="Stellen suchen" r:id="rId93"/>
    <hyperlink xmlns:r="http://schemas.openxmlformats.org/officeDocument/2006/relationships" ref="V42" display="https://www.belimo.com/ch/de_CH/about-belimo/investor-relations" r:id="rId94"/>
    <hyperlink xmlns:r="http://schemas.openxmlformats.org/officeDocument/2006/relationships" ref="X42" display="Stellen suchen" r:id="rId95"/>
    <hyperlink xmlns:r="http://schemas.openxmlformats.org/officeDocument/2006/relationships" ref="Y42" display="https://www.jobs.ch/en/companies/16954-belimo-automation-ag/" r:id="rId96"/>
    <hyperlink xmlns:r="http://schemas.openxmlformats.org/officeDocument/2006/relationships" ref="V43" display="https://stockanalysis.com/quote/swx/DAE/financials/" r:id="rId97"/>
    <hyperlink xmlns:r="http://schemas.openxmlformats.org/officeDocument/2006/relationships" ref="X43" display="Stellen suchen" r:id="rId98"/>
    <hyperlink xmlns:r="http://schemas.openxmlformats.org/officeDocument/2006/relationships" ref="Y43" display="https://careers.datwyler.com/search/" r:id="rId99"/>
    <hyperlink xmlns:r="http://schemas.openxmlformats.org/officeDocument/2006/relationships" ref="V44" display="https://stockanalysis.com/quote/swx/FORN/financials/" r:id="rId100"/>
    <hyperlink xmlns:r="http://schemas.openxmlformats.org/officeDocument/2006/relationships" ref="X44" display="Stellen suchen" r:id="rId101"/>
    <hyperlink xmlns:r="http://schemas.openxmlformats.org/officeDocument/2006/relationships" ref="V45" display="https://stockanalysis.com/quote/swx/VACN/financials/" r:id="rId102"/>
    <hyperlink xmlns:r="http://schemas.openxmlformats.org/officeDocument/2006/relationships" ref="X45" display="Stellen suchen" r:id="rId103"/>
    <hyperlink xmlns:r="http://schemas.openxmlformats.org/officeDocument/2006/relationships" ref="Y45" display="https://careers.vatvalve.com/search/" r:id="rId104"/>
    <hyperlink xmlns:r="http://schemas.openxmlformats.org/officeDocument/2006/relationships" ref="V46" display="https://stockanalysis.com/quote/swx/BOSN/financials/" r:id="rId105"/>
    <hyperlink xmlns:r="http://schemas.openxmlformats.org/officeDocument/2006/relationships" ref="X46" display="Stellen suchen" r:id="rId106"/>
    <hyperlink xmlns:r="http://schemas.openxmlformats.org/officeDocument/2006/relationships" ref="Y46" display="https://www.jobs.ch/en/companies/3501-bossard-ag/" r:id="rId107"/>
    <hyperlink xmlns:r="http://schemas.openxmlformats.org/officeDocument/2006/relationships" ref="V47" display="https://stockanalysis.com/quote/swx/BCHN/financials/" r:id="rId108"/>
    <hyperlink xmlns:r="http://schemas.openxmlformats.org/officeDocument/2006/relationships" ref="X47" display="Stellen suchen" r:id="rId109"/>
    <hyperlink xmlns:r="http://schemas.openxmlformats.org/officeDocument/2006/relationships" ref="Y47" display="https://careers.burckhardtcompression.com/search/" r:id="rId110"/>
    <hyperlink xmlns:r="http://schemas.openxmlformats.org/officeDocument/2006/relationships" ref="V48" display="https://stockanalysis.com/quote/swx/ACLN/financials/" r:id="rId111"/>
    <hyperlink xmlns:r="http://schemas.openxmlformats.org/officeDocument/2006/relationships" ref="X48" display="Stellen suchen" r:id="rId112"/>
    <hyperlink xmlns:r="http://schemas.openxmlformats.org/officeDocument/2006/relationships" ref="Y48" display="https://www.jobs.ch/en/companies/125399-accelleron-industries/" r:id="rId113"/>
    <hyperlink xmlns:r="http://schemas.openxmlformats.org/officeDocument/2006/relationships" ref="V49" display="https://stockanalysis.com/quote/swx/AERO/financials/" r:id="rId114"/>
    <hyperlink xmlns:r="http://schemas.openxmlformats.org/officeDocument/2006/relationships" ref="X49" display="Stellen suchen" r:id="rId115"/>
    <hyperlink xmlns:r="http://schemas.openxmlformats.org/officeDocument/2006/relationships" ref="V50" display="https://de.wikipedia.org/wiki/Hamilton_Bonaduz" r:id="rId116"/>
    <hyperlink xmlns:r="http://schemas.openxmlformats.org/officeDocument/2006/relationships" ref="X50" display="Stellen suchen" r:id="rId117"/>
    <hyperlink xmlns:r="http://schemas.openxmlformats.org/officeDocument/2006/relationships" ref="V51" display="https://www.landisgyr.com/nam/en/home/news-media/newsroom/2026/Landis-Gyr-Announces-Q4-and-Full-Year-FY-2025-Financial-Results" r:id="rId118"/>
    <hyperlink xmlns:r="http://schemas.openxmlformats.org/officeDocument/2006/relationships" ref="X51" display="Stellen suchen" r:id="rId119"/>
    <hyperlink xmlns:r="http://schemas.openxmlformats.org/officeDocument/2006/relationships" ref="Y51" display="https://careers.landisgyr.com/search/" r:id="rId120"/>
    <hyperlink xmlns:r="http://schemas.openxmlformats.org/officeDocument/2006/relationships" ref="V52" display="https://stockanalysis.com/quote/swx/SWTQ/financials/" r:id="rId121"/>
    <hyperlink xmlns:r="http://schemas.openxmlformats.org/officeDocument/2006/relationships" ref="X52" display="Stellen suchen" r:id="rId122"/>
    <hyperlink xmlns:r="http://schemas.openxmlformats.org/officeDocument/2006/relationships" ref="V53" display="https://stockanalysis.com/quote/swx/TECN/financials/" r:id="rId123"/>
    <hyperlink xmlns:r="http://schemas.openxmlformats.org/officeDocument/2006/relationships" ref="X53" display="Stellen suchen" r:id="rId124"/>
    <hyperlink xmlns:r="http://schemas.openxmlformats.org/officeDocument/2006/relationships" ref="Y53" display="https://careers.tecan.com/search/" r:id="rId125"/>
    <hyperlink xmlns:r="http://schemas.openxmlformats.org/officeDocument/2006/relationships" ref="V54" display="https://stockanalysis.com/quote/swx/HUBN/financials/" r:id="rId126"/>
    <hyperlink xmlns:r="http://schemas.openxmlformats.org/officeDocument/2006/relationships" ref="X54" display="Stellen suchen" r:id="rId127"/>
    <hyperlink xmlns:r="http://schemas.openxmlformats.org/officeDocument/2006/relationships" ref="Y54" display="https://recruiting.hubersuhner.com/Jobs/All?lang=de" r:id="rId128"/>
    <hyperlink xmlns:r="http://schemas.openxmlformats.org/officeDocument/2006/relationships" ref="V55" display="https://www.wirtschaftszeit.li/news/856-millionen-franken-ivoclar-gruppe-meldet-umsatz-fuer-2023/" r:id="rId129"/>
    <hyperlink xmlns:r="http://schemas.openxmlformats.org/officeDocument/2006/relationships" ref="X55" display="Stellen suchen" r:id="rId130"/>
    <hyperlink xmlns:r="http://schemas.openxmlformats.org/officeDocument/2006/relationships" ref="Y55" display="https://www.jobs.ch/en/companies/6731-ivoclar-vivadent-ag/" r:id="rId131"/>
    <hyperlink xmlns:r="http://schemas.openxmlformats.org/officeDocument/2006/relationships" ref="V56" display="https://de.wikipedia.org/wiki/Habasit" r:id="rId132"/>
    <hyperlink xmlns:r="http://schemas.openxmlformats.org/officeDocument/2006/relationships" ref="X56" display="Stellen suchen" r:id="rId133"/>
    <hyperlink xmlns:r="http://schemas.openxmlformats.org/officeDocument/2006/relationships" ref="V57" display="https://www.cash.ch/news/ruag-mro-steigert-umsatz-und-gewinn-deutlich-922782" r:id="rId134"/>
    <hyperlink xmlns:r="http://schemas.openxmlformats.org/officeDocument/2006/relationships" ref="X57" display="Stellen suchen" r:id="rId135"/>
    <hyperlink xmlns:r="http://schemas.openxmlformats.org/officeDocument/2006/relationships" ref="V58" display="https://stockanalysis.com/quote/swx/KARN/financials/" r:id="rId136"/>
    <hyperlink xmlns:r="http://schemas.openxmlformats.org/officeDocument/2006/relationships" ref="X58" display="Stellen suchen" r:id="rId137"/>
    <hyperlink xmlns:r="http://schemas.openxmlformats.org/officeDocument/2006/relationships" ref="V59" display="https://stockanalysis.com/quote/swx/VETN/financials/" r:id="rId138"/>
    <hyperlink xmlns:r="http://schemas.openxmlformats.org/officeDocument/2006/relationships" ref="X59" display="Stellen suchen" r:id="rId139"/>
    <hyperlink xmlns:r="http://schemas.openxmlformats.org/officeDocument/2006/relationships" ref="V60" display="https://stockanalysis.com/quote/swx/YPSN/financials/" r:id="rId140"/>
    <hyperlink xmlns:r="http://schemas.openxmlformats.org/officeDocument/2006/relationships" ref="X60" display="Stellen suchen" r:id="rId141"/>
    <hyperlink xmlns:r="http://schemas.openxmlformats.org/officeDocument/2006/relationships" ref="V61" display="https://stockanalysis.com/quote/swx/ZEHN/financials/" r:id="rId142"/>
    <hyperlink xmlns:r="http://schemas.openxmlformats.org/officeDocument/2006/relationships" ref="X61" display="Stellen suchen" r:id="rId143"/>
    <hyperlink xmlns:r="http://schemas.openxmlformats.org/officeDocument/2006/relationships" ref="V62" display="https://stockanalysis.com/quote/swx/PMN/financials/" r:id="rId144"/>
    <hyperlink xmlns:r="http://schemas.openxmlformats.org/officeDocument/2006/relationships" ref="X62" display="Stellen suchen" r:id="rId145"/>
    <hyperlink xmlns:r="http://schemas.openxmlformats.org/officeDocument/2006/relationships" ref="V63" display="https://stockanalysis.com/quote/swx/RIEN/financials/" r:id="rId146"/>
    <hyperlink xmlns:r="http://schemas.openxmlformats.org/officeDocument/2006/relationships" ref="X63" display="Stellen suchen" r:id="rId147"/>
    <hyperlink xmlns:r="http://schemas.openxmlformats.org/officeDocument/2006/relationships" ref="Y63" display="https://live.solique.ch/rieter/en/internet" r:id="rId148"/>
    <hyperlink xmlns:r="http://schemas.openxmlformats.org/officeDocument/2006/relationships" ref="V64" display="https://www.cetoday.ch/elektro/2024-05-13/jura-investiert-in-innovation-design-und-service" r:id="rId149"/>
    <hyperlink xmlns:r="http://schemas.openxmlformats.org/officeDocument/2006/relationships" ref="X64" display="Stellen suchen" r:id="rId150"/>
    <hyperlink xmlns:r="http://schemas.openxmlformats.org/officeDocument/2006/relationships" ref="V65" display="https://stockanalysis.com/quote/swx/FTON/financials/" r:id="rId151"/>
    <hyperlink xmlns:r="http://schemas.openxmlformats.org/officeDocument/2006/relationships" ref="X65" display="Stellen suchen" r:id="rId152"/>
    <hyperlink xmlns:r="http://schemas.openxmlformats.org/officeDocument/2006/relationships" ref="V66" display="https://www.sauter-controls.com/" r:id="rId153"/>
    <hyperlink xmlns:r="http://schemas.openxmlformats.org/officeDocument/2006/relationships" ref="X66" display="Stellen suchen" r:id="rId154"/>
    <hyperlink xmlns:r="http://schemas.openxmlformats.org/officeDocument/2006/relationships" ref="V67" display="https://www.cash.ch/news/top-news/arbonia-steigert-2025-umsatz-und-weist-verlust-aus-914119" r:id="rId155"/>
    <hyperlink xmlns:r="http://schemas.openxmlformats.org/officeDocument/2006/relationships" ref="X67" display="Stellen suchen" r:id="rId156"/>
    <hyperlink xmlns:r="http://schemas.openxmlformats.org/officeDocument/2006/relationships" ref="V68" display="https://dewiki.de/Lexikon/Eugster/Frismag" r:id="rId157"/>
    <hyperlink xmlns:r="http://schemas.openxmlformats.org/officeDocument/2006/relationships" ref="X68" display="Stellen suchen" r:id="rId158"/>
    <hyperlink xmlns:r="http://schemas.openxmlformats.org/officeDocument/2006/relationships" ref="V69" display="https://report.cicor.com/ar25/key-figures" r:id="rId159"/>
    <hyperlink xmlns:r="http://schemas.openxmlformats.org/officeDocument/2006/relationships" ref="X69" display="Stellen suchen" r:id="rId160"/>
    <hyperlink xmlns:r="http://schemas.openxmlformats.org/officeDocument/2006/relationships" ref="V70" display="https://mtdcnc.com/news/bystronic/bystronic-reports-strong-2025-results-despite-economic-challenges/" r:id="rId161"/>
    <hyperlink xmlns:r="http://schemas.openxmlformats.org/officeDocument/2006/relationships" ref="X70" display="Stellen suchen" r:id="rId162"/>
    <hyperlink xmlns:r="http://schemas.openxmlformats.org/officeDocument/2006/relationships" ref="V71" display="https://de.wikipedia.org/wiki/Medela" r:id="rId163"/>
    <hyperlink xmlns:r="http://schemas.openxmlformats.org/officeDocument/2006/relationships" ref="X71" display="Stellen suchen" r:id="rId164"/>
    <hyperlink xmlns:r="http://schemas.openxmlformats.org/officeDocument/2006/relationships" ref="V72" display="https://www.cash.ch/news/maxon-halt-umsatz-stabil-neue-prasidentin-947917" r:id="rId165"/>
    <hyperlink xmlns:r="http://schemas.openxmlformats.org/officeDocument/2006/relationships" ref="X72" display="Stellen suchen" r:id="rId166"/>
    <hyperlink xmlns:r="http://schemas.openxmlformats.org/officeDocument/2006/relationships" ref="Y72" display="https://recruiting.maxongroup.com/Jobs/All?lang=de" r:id="rId167"/>
    <hyperlink xmlns:r="http://schemas.openxmlformats.org/officeDocument/2006/relationships" ref="V73" display="https://stockanalysis.com/quote/swx/KOMN/financials/" r:id="rId168"/>
    <hyperlink xmlns:r="http://schemas.openxmlformats.org/officeDocument/2006/relationships" ref="X73" display="Stellen suchen" r:id="rId169"/>
    <hyperlink xmlns:r="http://schemas.openxmlformats.org/officeDocument/2006/relationships" ref="Y73" display="https://www.jobs.ch/de/firmen/791-komax-group/stellenangebote/" r:id="rId170"/>
    <hyperlink xmlns:r="http://schemas.openxmlformats.org/officeDocument/2006/relationships" ref="V74" display="https://stockanalysis.com/quote/swx/VZUG/financials/" r:id="rId171"/>
    <hyperlink xmlns:r="http://schemas.openxmlformats.org/officeDocument/2006/relationships" ref="X74" display="Stellen suchen" r:id="rId172"/>
    <hyperlink xmlns:r="http://schemas.openxmlformats.org/officeDocument/2006/relationships" ref="V75" display="https://www.cash.ch/borsen-ticker/unternehmen/acrotec-knackt-500-millionen-schwelle-beim-umsatz-562189" r:id="rId173"/>
    <hyperlink xmlns:r="http://schemas.openxmlformats.org/officeDocument/2006/relationships" ref="X75" display="Stellen suchen" r:id="rId174"/>
    <hyperlink xmlns:r="http://schemas.openxmlformats.org/officeDocument/2006/relationships" ref="V76" display="https://stockanalysis.com/quote/swx/IFCN/financials/" r:id="rId175"/>
    <hyperlink xmlns:r="http://schemas.openxmlformats.org/officeDocument/2006/relationships" ref="X76" display="Stellen suchen" r:id="rId176"/>
    <hyperlink xmlns:r="http://schemas.openxmlformats.org/officeDocument/2006/relationships" ref="V77" display="https://de.wikipedia.org/wiki/Baumer_Group" r:id="rId177"/>
    <hyperlink xmlns:r="http://schemas.openxmlformats.org/officeDocument/2006/relationships" ref="X77" display="Stellen suchen" r:id="rId178"/>
    <hyperlink xmlns:r="http://schemas.openxmlformats.org/officeDocument/2006/relationships" ref="Y77" display="https://jobs.baumer.com/" r:id="rId179"/>
    <hyperlink xmlns:r="http://schemas.openxmlformats.org/officeDocument/2006/relationships" ref="V78" display="https://www.interroll.com/news-events/press-releases" r:id="rId180"/>
    <hyperlink xmlns:r="http://schemas.openxmlformats.org/officeDocument/2006/relationships" ref="X78" display="Stellen suchen" r:id="rId181"/>
    <hyperlink xmlns:r="http://schemas.openxmlformats.org/officeDocument/2006/relationships" ref="Y78" display="https://www.interroll.com/company/careers/" r:id="rId182"/>
    <hyperlink xmlns:r="http://schemas.openxmlformats.org/officeDocument/2006/relationships" ref="V79" display="https://stockanalysis.com/quote/swx/MTG/financials/" r:id="rId183"/>
    <hyperlink xmlns:r="http://schemas.openxmlformats.org/officeDocument/2006/relationships" ref="X79" display="Stellen suchen" r:id="rId184"/>
    <hyperlink xmlns:r="http://schemas.openxmlformats.org/officeDocument/2006/relationships" ref="Y79" display="https://www.jobs.ch/en/companies/85876-meier-tobler-ag/vacancies/" r:id="rId185"/>
    <hyperlink xmlns:r="http://schemas.openxmlformats.org/officeDocument/2006/relationships" ref="V80" display="https://de.wikipedia.org/wiki/Kistler_Gruppe" r:id="rId186"/>
    <hyperlink xmlns:r="http://schemas.openxmlformats.org/officeDocument/2006/relationships" ref="X80" display="Stellen suchen" r:id="rId187"/>
    <hyperlink xmlns:r="http://schemas.openxmlformats.org/officeDocument/2006/relationships" ref="Y80" display="https://www.kistler.com/CH/de/kistler-stellenangebote/jobs" r:id="rId188"/>
    <hyperlink xmlns:r="http://schemas.openxmlformats.org/officeDocument/2006/relationships" ref="V81" display="https://stockanalysis.com/quote/swx/COTN/financials/" r:id="rId189"/>
    <hyperlink xmlns:r="http://schemas.openxmlformats.org/officeDocument/2006/relationships" ref="X81" display="Stellen suchen" r:id="rId190"/>
    <hyperlink xmlns:r="http://schemas.openxmlformats.org/officeDocument/2006/relationships" ref="V82" display="https://stockanalysis.com/quote/swx/MEDX/financials/" r:id="rId191"/>
    <hyperlink xmlns:r="http://schemas.openxmlformats.org/officeDocument/2006/relationships" ref="X82" display="Stellen suchen" r:id="rId192"/>
    <hyperlink xmlns:r="http://schemas.openxmlformats.org/officeDocument/2006/relationships" ref="V83" display="https://stockanalysis.com/quote/swx/STGN/financials/" r:id="rId193"/>
    <hyperlink xmlns:r="http://schemas.openxmlformats.org/officeDocument/2006/relationships" ref="X83" display="Stellen suchen" r:id="rId194"/>
    <hyperlink xmlns:r="http://schemas.openxmlformats.org/officeDocument/2006/relationships" ref="V84" display="https://www.reishauer.com/" r:id="rId195"/>
    <hyperlink xmlns:r="http://schemas.openxmlformats.org/officeDocument/2006/relationships" ref="X84" display="Stellen suchen" r:id="rId196"/>
    <hyperlink xmlns:r="http://schemas.openxmlformats.org/officeDocument/2006/relationships" ref="Y84" display="https://jobs.reishauer.com/search/?locale=de_DE" r:id="rId197"/>
    <hyperlink xmlns:r="http://schemas.openxmlformats.org/officeDocument/2006/relationships" ref="V85" display="https://stockanalysis.com/quote/swx/RSGN/financials/" r:id="rId198"/>
    <hyperlink xmlns:r="http://schemas.openxmlformats.org/officeDocument/2006/relationships" ref="X85" display="Stellen suchen" r:id="rId199"/>
    <hyperlink xmlns:r="http://schemas.openxmlformats.org/officeDocument/2006/relationships" ref="V86" display="https://www.beyondgravity.com/en/annual-report-2025" r:id="rId200"/>
    <hyperlink xmlns:r="http://schemas.openxmlformats.org/officeDocument/2006/relationships" ref="X86" display="Stellen suchen" r:id="rId201"/>
    <hyperlink xmlns:r="http://schemas.openxmlformats.org/officeDocument/2006/relationships" ref="V87" display="https://www.bote.ch/nachrichten/schwyz/victorinox-leidet-unter-zoellen-und-starkem-franken-art-1686763" r:id="rId202"/>
    <hyperlink xmlns:r="http://schemas.openxmlformats.org/officeDocument/2006/relationships" ref="X87" display="Stellen suchen" r:id="rId203"/>
    <hyperlink xmlns:r="http://schemas.openxmlformats.org/officeDocument/2006/relationships" ref="V88" display="https://www.find-your-future.ch/de/arbeiten-mem-branche/branche-unternehmen/firmenportraits/rheinmetall-air-defence/" r:id="rId204"/>
    <hyperlink xmlns:r="http://schemas.openxmlformats.org/officeDocument/2006/relationships" ref="X88" display="Stellen suchen" r:id="rId205"/>
    <hyperlink xmlns:r="http://schemas.openxmlformats.org/officeDocument/2006/relationships" ref="V89" display="https://www.find-your-future.ch/de/arbeiten-mem-branche/branche-unternehmen/firmenportraits/gdels-mowag-gmbh/" r:id="rId206"/>
    <hyperlink xmlns:r="http://schemas.openxmlformats.org/officeDocument/2006/relationships" ref="X89" display="Stellen suchen" r:id="rId207"/>
    <hyperlink xmlns:r="http://schemas.openxmlformats.org/officeDocument/2006/relationships" ref="V90" display="https://stockanalysis.com/quote/swx/MIKN/financials/" r:id="rId208"/>
    <hyperlink xmlns:r="http://schemas.openxmlformats.org/officeDocument/2006/relationships" ref="X90" display="Stellen suchen" r:id="rId209"/>
    <hyperlink xmlns:r="http://schemas.openxmlformats.org/officeDocument/2006/relationships" ref="V91" display="https://de.wikipedia.org/wiki/Griesser_Holding" r:id="rId210"/>
    <hyperlink xmlns:r="http://schemas.openxmlformats.org/officeDocument/2006/relationships" ref="X91" display="Stellen suchen" r:id="rId211"/>
    <hyperlink xmlns:r="http://schemas.openxmlformats.org/officeDocument/2006/relationships" ref="V92" display="https://www.cflex.com/" r:id="rId212"/>
    <hyperlink xmlns:r="http://schemas.openxmlformats.org/officeDocument/2006/relationships" ref="X92" display="Stellen suchen" r:id="rId213"/>
    <hyperlink xmlns:r="http://schemas.openxmlformats.org/officeDocument/2006/relationships" ref="V93" display="https://sonceboz.com/about-us/" r:id="rId214"/>
    <hyperlink xmlns:r="http://schemas.openxmlformats.org/officeDocument/2006/relationships" ref="X93" display="Stellen suchen" r:id="rId215"/>
    <hyperlink xmlns:r="http://schemas.openxmlformats.org/officeDocument/2006/relationships" ref="V94" display="https://stockanalysis.com/quote/swx/SENS/financials/" r:id="rId216"/>
    <hyperlink xmlns:r="http://schemas.openxmlformats.org/officeDocument/2006/relationships" ref="X94" display="Stellen suchen" r:id="rId217"/>
    <hyperlink xmlns:r="http://schemas.openxmlformats.org/officeDocument/2006/relationships" ref="Y94" display="https://sensirion.com/career" r:id="rId218"/>
    <hyperlink xmlns:r="http://schemas.openxmlformats.org/officeDocument/2006/relationships" ref="V95" display="https://linth24.ch/articles/64161-weidmann-mit-umsatzrueckgang-und-expansionsplan" r:id="rId219"/>
    <hyperlink xmlns:r="http://schemas.openxmlformats.org/officeDocument/2006/relationships" ref="X95" display="Stellen suchen" r:id="rId220"/>
    <hyperlink xmlns:r="http://schemas.openxmlformats.org/officeDocument/2006/relationships" ref="V96" display="https://stockanalysis.com/quote/swx/SKAN/financials/" r:id="rId221"/>
    <hyperlink xmlns:r="http://schemas.openxmlformats.org/officeDocument/2006/relationships" ref="X96" display="Stellen suchen" r:id="rId222"/>
    <hyperlink xmlns:r="http://schemas.openxmlformats.org/officeDocument/2006/relationships" ref="V97" display="https://www.weltmarktfuehrerindex.de/profil/sefar" r:id="rId223"/>
    <hyperlink xmlns:r="http://schemas.openxmlformats.org/officeDocument/2006/relationships" ref="X97" display="Stellen suchen" r:id="rId224"/>
    <hyperlink xmlns:r="http://schemas.openxmlformats.org/officeDocument/2006/relationships" ref="V98" display="https://stockanalysis.com/quote/swx/GURN/financials/" r:id="rId225"/>
    <hyperlink xmlns:r="http://schemas.openxmlformats.org/officeDocument/2006/relationships" ref="X98" display="Stellen suchen" r:id="rId226"/>
    <hyperlink xmlns:r="http://schemas.openxmlformats.org/officeDocument/2006/relationships" ref="V99" display="https://de.wikipedia.org/wiki/Ferag" r:id="rId227"/>
    <hyperlink xmlns:r="http://schemas.openxmlformats.org/officeDocument/2006/relationships" ref="X99" display="Stellen suchen" r:id="rId228"/>
    <hyperlink xmlns:r="http://schemas.openxmlformats.org/officeDocument/2006/relationships" ref="Y99" display="https://recruitingapp-2970.umantis.com/Jobs/1?CompanyID=1" r:id="rId229"/>
    <hyperlink xmlns:r="http://schemas.openxmlformats.org/officeDocument/2006/relationships" ref="V100" display="https://stockanalysis.com/quote/swx/ASCN/financials/" r:id="rId230"/>
    <hyperlink xmlns:r="http://schemas.openxmlformats.org/officeDocument/2006/relationships" ref="X100" display="Stellen suchen" r:id="rId231"/>
    <hyperlink xmlns:r="http://schemas.openxmlformats.org/officeDocument/2006/relationships" ref="V101" display="https://de.wikipedia.org/wiki/Schurter_Holding" r:id="rId232"/>
    <hyperlink xmlns:r="http://schemas.openxmlformats.org/officeDocument/2006/relationships" ref="X101" display="Stellen suchen" r:id="rId233"/>
    <hyperlink xmlns:r="http://schemas.openxmlformats.org/officeDocument/2006/relationships" ref="V102" display="https://stockanalysis.com/quote/swx/LEHN/financials/" r:id="rId234"/>
    <hyperlink xmlns:r="http://schemas.openxmlformats.org/officeDocument/2006/relationships" ref="X102" display="Stellen suchen" r:id="rId235"/>
    <hyperlink xmlns:r="http://schemas.openxmlformats.org/officeDocument/2006/relationships" ref="V103" display="https://www.angst-pfister.com/about-us.html" r:id="rId236"/>
    <hyperlink xmlns:r="http://schemas.openxmlformats.org/officeDocument/2006/relationships" ref="X103" display="Stellen suchen" r:id="rId237"/>
    <hyperlink xmlns:r="http://schemas.openxmlformats.org/officeDocument/2006/relationships" ref="Y103" display="https://www.jobs.ch/de/firmen/4422-angst-pfister-ag/stellenangebote/" r:id="rId238"/>
    <hyperlink xmlns:r="http://schemas.openxmlformats.org/officeDocument/2006/relationships" ref="V104" display="https://stockanalysis.com/quote/swx/OFN/financials/" r:id="rId239"/>
    <hyperlink xmlns:r="http://schemas.openxmlformats.org/officeDocument/2006/relationships" ref="X104" display="Stellen suchen" r:id="rId240"/>
    <hyperlink xmlns:r="http://schemas.openxmlformats.org/officeDocument/2006/relationships" ref="V105" display="https://de.wikipedia.org/wiki/G%C3%BCdel" r:id="rId241"/>
    <hyperlink xmlns:r="http://schemas.openxmlformats.org/officeDocument/2006/relationships" ref="X105" display="Stellen suchen" r:id="rId242"/>
    <hyperlink xmlns:r="http://schemas.openxmlformats.org/officeDocument/2006/relationships" ref="V106" display="https://stockanalysis.com/quote/swx/MED/financials/" r:id="rId243"/>
    <hyperlink xmlns:r="http://schemas.openxmlformats.org/officeDocument/2006/relationships" ref="X106" display="Stellen suchen" r:id="rId244"/>
    <hyperlink xmlns:r="http://schemas.openxmlformats.org/officeDocument/2006/relationships" ref="V107" display="https://www.packaktuell.ch/unternehmen/utz-gruppe-bleibt-auf-wachstumskurs-wechsel-im-verwaltungsrat-187413" r:id="rId245"/>
    <hyperlink xmlns:r="http://schemas.openxmlformats.org/officeDocument/2006/relationships" ref="X107" display="Stellen suchen" r:id="rId246"/>
    <hyperlink xmlns:r="http://schemas.openxmlformats.org/officeDocument/2006/relationships" ref="V108" display="https://www.u-blox.com/en/investors" r:id="rId247"/>
    <hyperlink xmlns:r="http://schemas.openxmlformats.org/officeDocument/2006/relationships" ref="X108" display="Stellen suchen" r:id="rId248"/>
    <hyperlink xmlns:r="http://schemas.openxmlformats.org/officeDocument/2006/relationships" ref="V109" display="https://de.wikipedia.org/wiki/Bernina_N%C3%A4hmaschinenfabrik" r:id="rId249"/>
    <hyperlink xmlns:r="http://schemas.openxmlformats.org/officeDocument/2006/relationships" ref="X109" display="Stellen suchen" r:id="rId250"/>
    <hyperlink xmlns:r="http://schemas.openxmlformats.org/officeDocument/2006/relationships" ref="V110" display="https://stockanalysis.com/quote/swx/CLTN/financials/" r:id="rId251"/>
    <hyperlink xmlns:r="http://schemas.openxmlformats.org/officeDocument/2006/relationships" ref="X110" display="Stellen suchen" r:id="rId252"/>
    <hyperlink xmlns:r="http://schemas.openxmlformats.org/officeDocument/2006/relationships" ref="V111" display="https://www.kunststoffweb.de/branchen-news/netstal_krones_erwirbt_schweizer_spritzgiessmaschinenbauer_t254537" r:id="rId253"/>
    <hyperlink xmlns:r="http://schemas.openxmlformats.org/officeDocument/2006/relationships" ref="X111" display="Stellen suchen" r:id="rId254"/>
    <hyperlink xmlns:r="http://schemas.openxmlformats.org/officeDocument/2006/relationships" ref="V112" display="https://en.wikipedia.org/wiki/Thermoplan_AG" r:id="rId255"/>
    <hyperlink xmlns:r="http://schemas.openxmlformats.org/officeDocument/2006/relationships" ref="X112" display="Stellen suchen" r:id="rId256"/>
    <hyperlink xmlns:r="http://schemas.openxmlformats.org/officeDocument/2006/relationships" ref="V113" display="https://www.zund.com/" r:id="rId257"/>
    <hyperlink xmlns:r="http://schemas.openxmlformats.org/officeDocument/2006/relationships" ref="X113" display="Stellen suchen" r:id="rId258"/>
    <hyperlink xmlns:r="http://schemas.openxmlformats.org/officeDocument/2006/relationships" ref="V114" display="https://www.mueller-frick.com/" r:id="rId259"/>
    <hyperlink xmlns:r="http://schemas.openxmlformats.org/officeDocument/2006/relationships" ref="X114" display="Stellen suchen" r:id="rId260"/>
    <hyperlink xmlns:r="http://schemas.openxmlformats.org/officeDocument/2006/relationships" ref="V115" display="https://www.leister.com/en-de/About-Us/We-are-Leister" r:id="rId261"/>
    <hyperlink xmlns:r="http://schemas.openxmlformats.org/officeDocument/2006/relationships" ref="X115" display="Stellen suchen" r:id="rId262"/>
    <hyperlink xmlns:r="http://schemas.openxmlformats.org/officeDocument/2006/relationships" ref="V116" display="https://www.eqs-news.com/news/ad-hoc/metall-zug-results-for-the-2025-financial-year/5fb65c5a-e0ed-4246-9781-35331a5c9158_en" r:id="rId263"/>
    <hyperlink xmlns:r="http://schemas.openxmlformats.org/officeDocument/2006/relationships" ref="X116" display="Stellen suchen" r:id="rId264"/>
    <hyperlink xmlns:r="http://schemas.openxmlformats.org/officeDocument/2006/relationships" ref="Y116" display="https://www.jobs.ch/en/companies/813-haag-streit-ag/" r:id="rId265"/>
    <hyperlink xmlns:r="http://schemas.openxmlformats.org/officeDocument/2006/relationships" ref="V117" display="https://stockanalysis.com/quote/swx/ELMN/financials/" r:id="rId266"/>
    <hyperlink xmlns:r="http://schemas.openxmlformats.org/officeDocument/2006/relationships" ref="X117" display="Stellen suchen" r:id="rId267"/>
    <hyperlink xmlns:r="http://schemas.openxmlformats.org/officeDocument/2006/relationships" ref="V118" display="https://www.ferrum.net/en/about-us/group.php" r:id="rId268"/>
    <hyperlink xmlns:r="http://schemas.openxmlformats.org/officeDocument/2006/relationships" ref="X118" display="Stellen suchen" r:id="rId269"/>
    <hyperlink xmlns:r="http://schemas.openxmlformats.org/officeDocument/2006/relationships" ref="V119" display="https://www.suhner.com/" r:id="rId270"/>
    <hyperlink xmlns:r="http://schemas.openxmlformats.org/officeDocument/2006/relationships" ref="X119" display="Stellen suchen" r:id="rId271"/>
    <hyperlink xmlns:r="http://schemas.openxmlformats.org/officeDocument/2006/relationships" ref="V120" display="https://www.uster.com/" r:id="rId272"/>
    <hyperlink xmlns:r="http://schemas.openxmlformats.org/officeDocument/2006/relationships" ref="X120" display="Stellen suchen" r:id="rId273"/>
    <hyperlink xmlns:r="http://schemas.openxmlformats.org/officeDocument/2006/relationships" ref="V121" display="https://de.wikipedia.org/wiki/Feller_AG" r:id="rId274"/>
    <hyperlink xmlns:r="http://schemas.openxmlformats.org/officeDocument/2006/relationships" ref="X121" display="Stellen suchen" r:id="rId275"/>
    <hyperlink xmlns:r="http://schemas.openxmlformats.org/officeDocument/2006/relationships" ref="V122" display="https://www.cmsa.ch/de/group" r:id="rId276"/>
    <hyperlink xmlns:r="http://schemas.openxmlformats.org/officeDocument/2006/relationships" ref="X122" display="Stellen suchen" r:id="rId277"/>
    <hyperlink xmlns:r="http://schemas.openxmlformats.org/officeDocument/2006/relationships" ref="V123" display="https://www.moneyhouse.ch/en/company/schaffner-holding-ag-20930778921" r:id="rId278"/>
    <hyperlink xmlns:r="http://schemas.openxmlformats.org/officeDocument/2006/relationships" ref="X123" display="Stellen suchen" r:id="rId279"/>
    <hyperlink xmlns:r="http://schemas.openxmlformats.org/officeDocument/2006/relationships" ref="V124" display="https://de.wikipedia.org/wiki/Blaser_Swisslube" r:id="rId280"/>
    <hyperlink xmlns:r="http://schemas.openxmlformats.org/officeDocument/2006/relationships" ref="X124" display="Stellen suchen" r:id="rId281"/>
    <hyperlink xmlns:r="http://schemas.openxmlformats.org/officeDocument/2006/relationships" ref="V125" display="https://de.wikipedia.org/wiki/Ernst_Schweizer_AG" r:id="rId282"/>
    <hyperlink xmlns:r="http://schemas.openxmlformats.org/officeDocument/2006/relationships" ref="X125" display="Stellen suchen" r:id="rId283"/>
    <hyperlink xmlns:r="http://schemas.openxmlformats.org/officeDocument/2006/relationships" ref="V126" display="https://de.wikipedia.org/wiki/St%C3%B6cklin_Logistik" r:id="rId284"/>
    <hyperlink xmlns:r="http://schemas.openxmlformats.org/officeDocument/2006/relationships" ref="X126" display="Stellen suchen" r:id="rId285"/>
    <hyperlink xmlns:r="http://schemas.openxmlformats.org/officeDocument/2006/relationships" ref="V127" display="https://svc.swiss/fr/willemin-macodel-sa" r:id="rId286"/>
    <hyperlink xmlns:r="http://schemas.openxmlformats.org/officeDocument/2006/relationships" ref="X127" display="Stellen suchen" r:id="rId287"/>
    <hyperlink xmlns:r="http://schemas.openxmlformats.org/officeDocument/2006/relationships" ref="V128" display="https://www.fraisa.com/assets/media/blaetterprospekt/geschaeftsbericht-2026/en/" r:id="rId288"/>
    <hyperlink xmlns:r="http://schemas.openxmlformats.org/officeDocument/2006/relationships" ref="X128" display="Stellen suchen" r:id="rId289"/>
    <hyperlink xmlns:r="http://schemas.openxmlformats.org/officeDocument/2006/relationships" ref="V129" display="https://www.bruderer.com/en/company/about-us" r:id="rId290"/>
    <hyperlink xmlns:r="http://schemas.openxmlformats.org/officeDocument/2006/relationships" ref="X129" display="Stellen suchen" r:id="rId291"/>
    <hyperlink xmlns:r="http://schemas.openxmlformats.org/officeDocument/2006/relationships" ref="V130" display="https://svc.swiss/de/hunkeler-ag-paper-processing" r:id="rId292"/>
    <hyperlink xmlns:r="http://schemas.openxmlformats.org/officeDocument/2006/relationships" ref="X130" display="Stellen suchen" r:id="rId293"/>
    <hyperlink xmlns:r="http://schemas.openxmlformats.org/officeDocument/2006/relationships" ref="V131" display="https://www.mpsag.com/en/about-us" r:id="rId294"/>
    <hyperlink xmlns:r="http://schemas.openxmlformats.org/officeDocument/2006/relationships" ref="X131" display="Stellen suchen" r:id="rId295"/>
    <hyperlink xmlns:r="http://schemas.openxmlformats.org/officeDocument/2006/relationships" ref="V132" display="https://www.trafag.com/us-en/about-us/" r:id="rId296"/>
    <hyperlink xmlns:r="http://schemas.openxmlformats.org/officeDocument/2006/relationships" ref="X132" display="Stellen suchen" r:id="rId297"/>
    <hyperlink xmlns:r="http://schemas.openxmlformats.org/officeDocument/2006/relationships" ref="V133" display="https://www.liebherr.com/de-ch/firmengruppe/standort/bulle-profil-3902923" r:id="rId298"/>
    <hyperlink xmlns:r="http://schemas.openxmlformats.org/officeDocument/2006/relationships" ref="X133" display="Stellen suchen" r:id="rId299"/>
    <hyperlink xmlns:r="http://schemas.openxmlformats.org/officeDocument/2006/relationships" ref="V134" display="https://www.syntegon.com/en/locations/beringen/" r:id="rId300"/>
    <hyperlink xmlns:r="http://schemas.openxmlformats.org/officeDocument/2006/relationships" ref="X134" display="Stellen suchen" r:id="rId301"/>
    <hyperlink xmlns:r="http://schemas.openxmlformats.org/officeDocument/2006/relationships" ref="V135" display="https://www.trumpf.com/de_CH/" r:id="rId302"/>
    <hyperlink xmlns:r="http://schemas.openxmlformats.org/officeDocument/2006/relationships" ref="X135" display="Stellen suchen" r:id="rId303"/>
    <hyperlink xmlns:r="http://schemas.openxmlformats.org/officeDocument/2006/relationships" ref="V136" display="https://www.thyssenkrupp-automotive-technology.com/de/unternehmen/organisationsstruktur/steering" r:id="rId304"/>
    <hyperlink xmlns:r="http://schemas.openxmlformats.org/officeDocument/2006/relationships" ref="X136" display="Stellen suchen" r:id="rId305"/>
    <hyperlink xmlns:r="http://schemas.openxmlformats.org/officeDocument/2006/relationships" ref="V137" display="https://www.hoval.ch/de_CH/Unternehmen/unternehmen/" r:id="rId306"/>
    <hyperlink xmlns:r="http://schemas.openxmlformats.org/officeDocument/2006/relationships" ref="X137" display="Stellen suchen" r:id="rId307"/>
    <hyperlink xmlns:r="http://schemas.openxmlformats.org/officeDocument/2006/relationships" ref="V138" display="https://www.kaiser.li/company" r:id="rId308"/>
    <hyperlink xmlns:r="http://schemas.openxmlformats.org/officeDocument/2006/relationships" ref="X138" display="Stellen suchen" r:id="rId309"/>
    <hyperlink xmlns:r="http://schemas.openxmlformats.org/officeDocument/2006/relationships" ref="V139" display="https://www.neutrikgroup.com/en/about/company" r:id="rId310"/>
    <hyperlink xmlns:r="http://schemas.openxmlformats.org/officeDocument/2006/relationships" ref="X139" display="Stellen suchen" r:id="rId311"/>
    <hyperlink xmlns:r="http://schemas.openxmlformats.org/officeDocument/2006/relationships" ref="V140" display="https://www.elkuch.com/" r:id="rId312"/>
    <hyperlink xmlns:r="http://schemas.openxmlformats.org/officeDocument/2006/relationships" ref="X140" display="Stellen suchen" r:id="rId313"/>
    <hyperlink xmlns:r="http://schemas.openxmlformats.org/officeDocument/2006/relationships" ref="V141" display="https://jobs.pantec.com/wer-wir-sind" r:id="rId314"/>
    <hyperlink xmlns:r="http://schemas.openxmlformats.org/officeDocument/2006/relationships" ref="X141" display="Stellen suchen" r:id="rId315"/>
    <hyperlink xmlns:r="http://schemas.openxmlformats.org/officeDocument/2006/relationships" ref="V142" display="https://press.siemens.com/global/en/pressrelease/siemens-climate-neutral-campus-zug-highlights-investment-excellence-and-switzerland" r:id="rId316"/>
    <hyperlink xmlns:r="http://schemas.openxmlformats.org/officeDocument/2006/relationships" ref="X142" display="Stellen suchen" r:id="rId317"/>
    <hyperlink xmlns:r="http://schemas.openxmlformats.org/officeDocument/2006/relationships" ref="V143" display="https://www.jnj.com/CH/our-locations" r:id="rId318"/>
    <hyperlink xmlns:r="http://schemas.openxmlformats.org/officeDocument/2006/relationships" ref="X143" display="Stellen suchen" r:id="rId319"/>
    <hyperlink xmlns:r="http://schemas.openxmlformats.org/officeDocument/2006/relationships" ref="V144" display="https://www.srtechnics.com/" r:id="rId320"/>
    <hyperlink xmlns:r="http://schemas.openxmlformats.org/officeDocument/2006/relationships" ref="X144" display="Stellen suchen" r:id="rId321"/>
    <hyperlink xmlns:r="http://schemas.openxmlformats.org/officeDocument/2006/relationships" ref="V145" display="https://leica-geosystems.com/" r:id="rId322"/>
    <hyperlink xmlns:r="http://schemas.openxmlformats.org/officeDocument/2006/relationships" ref="X145" display="Stellen suchen" r:id="rId323"/>
    <hyperlink xmlns:r="http://schemas.openxmlformats.org/officeDocument/2006/relationships" ref="V146" display="https://www.medtronic.com/ch-de/" r:id="rId324"/>
    <hyperlink xmlns:r="http://schemas.openxmlformats.org/officeDocument/2006/relationships" ref="X146" display="Stellen suchen" r:id="rId325"/>
    <hyperlink xmlns:r="http://schemas.openxmlformats.org/officeDocument/2006/relationships" ref="V147" display="https://www.zimmerbiomet.com/" r:id="rId326"/>
    <hyperlink xmlns:r="http://schemas.openxmlformats.org/officeDocument/2006/relationships" ref="X147" display="Stellen suchen" r:id="rId327"/>
    <hyperlink xmlns:r="http://schemas.openxmlformats.org/officeDocument/2006/relationships" ref="V148" display="https://www.stryker.com/ch/de/" r:id="rId328"/>
    <hyperlink xmlns:r="http://schemas.openxmlformats.org/officeDocument/2006/relationships" ref="X148" display="Stellen suchen" r:id="rId329"/>
    <hyperlink xmlns:r="http://schemas.openxmlformats.org/officeDocument/2006/relationships" ref="V149" display="https://www.biotronik.com/en-us/change-ownership-vascular-intervention-business" r:id="rId330"/>
    <hyperlink xmlns:r="http://schemas.openxmlformats.org/officeDocument/2006/relationships" ref="X149" display="Stellen suchen" r:id="rId331"/>
    <hyperlink xmlns:r="http://schemas.openxmlformats.org/officeDocument/2006/relationships" ref="V150" display="https://www.bruker.com/" r:id="rId332"/>
    <hyperlink xmlns:r="http://schemas.openxmlformats.org/officeDocument/2006/relationships" ref="X150" display="Stellen suchen" r:id="rId333"/>
    <hyperlink xmlns:r="http://schemas.openxmlformats.org/officeDocument/2006/relationships" ref="Y150" display="https://www.jobs.ch/en/companies/32002-bruker-biospin-ag/" r:id="rId334"/>
    <hyperlink xmlns:r="http://schemas.openxmlformats.org/officeDocument/2006/relationships" ref="V151" display="https://www.jetaviation.com/company/about/" r:id="rId335"/>
    <hyperlink xmlns:r="http://schemas.openxmlformats.org/officeDocument/2006/relationships" ref="X151" display="Stellen suchen" r:id="rId336"/>
    <hyperlink xmlns:r="http://schemas.openxmlformats.org/officeDocument/2006/relationships" ref="V152" display="https://www.everllence.com/company/production-locations/zurich" r:id="rId337"/>
    <hyperlink xmlns:r="http://schemas.openxmlformats.org/officeDocument/2006/relationships" ref="X152" display="Stellen suchen" r:id="rId338"/>
    <hyperlink xmlns:r="http://schemas.openxmlformats.org/officeDocument/2006/relationships" ref="V153" display="https://www.dentsplysirona.com/" r:id="rId339"/>
    <hyperlink xmlns:r="http://schemas.openxmlformats.org/officeDocument/2006/relationships" ref="X153" display="Stellen suchen" r:id="rId340"/>
    <hyperlink xmlns:r="http://schemas.openxmlformats.org/officeDocument/2006/relationships" ref="V154" display="https://www.alstom.com/de/alstom-schweiz" r:id="rId341"/>
    <hyperlink xmlns:r="http://schemas.openxmlformats.org/officeDocument/2006/relationships" ref="X154" display="Stellen suchen" r:id="rId342"/>
    <hyperlink xmlns:r="http://schemas.openxmlformats.org/officeDocument/2006/relationships" ref="Y154" display="https://jobsearch.alstom.com/search/" r:id="rId343"/>
    <hyperlink xmlns:r="http://schemas.openxmlformats.org/officeDocument/2006/relationships" ref="V155" display="https://www.kanadevia-inova.com/" r:id="rId344"/>
    <hyperlink xmlns:r="http://schemas.openxmlformats.org/officeDocument/2006/relationships" ref="X155" display="Stellen suchen" r:id="rId345"/>
    <hyperlink xmlns:r="http://schemas.openxmlformats.org/officeDocument/2006/relationships" ref="V156" display="https://www.faulhaber.com/" r:id="rId346"/>
    <hyperlink xmlns:r="http://schemas.openxmlformats.org/officeDocument/2006/relationships" ref="X156" display="Stellen suchen" r:id="rId347"/>
    <hyperlink xmlns:r="http://schemas.openxmlformats.org/officeDocument/2006/relationships" ref="V157" display="https://www.safran-group.com/countries/switzerland" r:id="rId348"/>
    <hyperlink xmlns:r="http://schemas.openxmlformats.org/officeDocument/2006/relationships" ref="X157" display="Stellen suchen" r:id="rId349"/>
    <hyperlink xmlns:r="http://schemas.openxmlformats.org/officeDocument/2006/relationships" ref="V158" display="https://www.wingd.com/" r:id="rId350"/>
    <hyperlink xmlns:r="http://schemas.openxmlformats.org/officeDocument/2006/relationships" ref="X158" display="Stellen suchen" r:id="rId351"/>
    <hyperlink xmlns:r="http://schemas.openxmlformats.org/officeDocument/2006/relationships" ref="V159" display="https://saurer.com/en/about-us" r:id="rId352"/>
    <hyperlink xmlns:r="http://schemas.openxmlformats.org/officeDocument/2006/relationships" ref="X159" display="Stellen suchen" r:id="rId353"/>
    <hyperlink xmlns:r="http://schemas.openxmlformats.org/officeDocument/2006/relationships" ref="V160" display="https://www.bd.com/" r:id="rId354"/>
    <hyperlink xmlns:r="http://schemas.openxmlformats.org/officeDocument/2006/relationships" ref="X160" display="Stellen suchen" r:id="rId355"/>
    <hyperlink xmlns:r="http://schemas.openxmlformats.org/officeDocument/2006/relationships" ref="V161" display="https://www.intuitive.com/" r:id="rId356"/>
    <hyperlink xmlns:r="http://schemas.openxmlformats.org/officeDocument/2006/relationships" ref="X161" display="Stellen suchen" r:id="rId357"/>
    <hyperlink xmlns:r="http://schemas.openxmlformats.org/officeDocument/2006/relationships" ref="V162" display="https://www.beckmancoulter.com/" r:id="rId358"/>
    <hyperlink xmlns:r="http://schemas.openxmlformats.org/officeDocument/2006/relationships" ref="X162" display="Stellen suchen" r:id="rId359"/>
    <hyperlink xmlns:r="http://schemas.openxmlformats.org/officeDocument/2006/relationships" ref="V163" display="https://www.bio-rad.com/" r:id="rId360"/>
    <hyperlink xmlns:r="http://schemas.openxmlformats.org/officeDocument/2006/relationships" ref="X163" display="Stellen suchen" r:id="rId361"/>
    <hyperlink xmlns:r="http://schemas.openxmlformats.org/officeDocument/2006/relationships" ref="V164" display="https://www.edwards.com/careers/locations/nyon" r:id="rId362"/>
    <hyperlink xmlns:r="http://schemas.openxmlformats.org/officeDocument/2006/relationships" ref="X164" display="Stellen suchen" r:id="rId363"/>
    <hyperlink xmlns:r="http://schemas.openxmlformats.org/officeDocument/2006/relationships" ref="V165" display="https://www.garrettmotion.com/" r:id="rId364"/>
    <hyperlink xmlns:r="http://schemas.openxmlformats.org/officeDocument/2006/relationships" ref="X165" display="Stellen suchen" r:id="rId365"/>
    <hyperlink xmlns:r="http://schemas.openxmlformats.org/officeDocument/2006/relationships" ref="V166" display="https://www.archroma.com/about" r:id="rId366"/>
    <hyperlink xmlns:r="http://schemas.openxmlformats.org/officeDocument/2006/relationships" ref="X166" display="Stellen suchen" r:id="rId367"/>
    <hyperlink xmlns:r="http://schemas.openxmlformats.org/officeDocument/2006/relationships" ref="V167" display="https://www.zimmerbiomet.com/" r:id="rId368"/>
    <hyperlink xmlns:r="http://schemas.openxmlformats.org/officeDocument/2006/relationships" ref="X167" display="Stellen suchen" r:id="rId369"/>
    <hyperlink xmlns:r="http://schemas.openxmlformats.org/officeDocument/2006/relationships" ref="V168" display="https://www.camlog.com/en/company" r:id="rId370"/>
    <hyperlink xmlns:r="http://schemas.openxmlformats.org/officeDocument/2006/relationships" ref="X168" display="Stellen suchen" r:id="rId371"/>
    <hyperlink xmlns:r="http://schemas.openxmlformats.org/officeDocument/2006/relationships" ref="V169" display="https://www.hoerbiger.com/" r:id="rId372"/>
    <hyperlink xmlns:r="http://schemas.openxmlformats.org/officeDocument/2006/relationships" ref="X169" display="Stellen suchen" r:id="rId373"/>
    <hyperlink xmlns:r="http://schemas.openxmlformats.org/officeDocument/2006/relationships" ref="V170" display="https://www.parker.com/" r:id="rId374"/>
    <hyperlink xmlns:r="http://schemas.openxmlformats.org/officeDocument/2006/relationships" ref="X170" display="Stellen suchen" r:id="rId375"/>
    <hyperlink xmlns:r="http://schemas.openxmlformats.org/officeDocument/2006/relationships" ref="V171" display="https://www.schaffhausen-area.ch/maker-story/johnson-controls" r:id="rId376"/>
    <hyperlink xmlns:r="http://schemas.openxmlformats.org/officeDocument/2006/relationships" ref="X171" display="Stellen suchen" r:id="rId377"/>
    <hyperlink xmlns:r="http://schemas.openxmlformats.org/officeDocument/2006/relationships" ref="V172" display="https://www.resideo.com/us/en/corporate/newsroom/featured-articles/resideos-new-emea-headquarters-opens-in-rolle-switzerland/" r:id="rId378"/>
    <hyperlink xmlns:r="http://schemas.openxmlformats.org/officeDocument/2006/relationships" ref="X172" display="Stellen suchen" r:id="rId379"/>
    <hyperlink xmlns:r="http://schemas.openxmlformats.org/officeDocument/2006/relationships" ref="V173" display="https://www.caterpillar.com/en/company/global-footprint/switzerland.html" r:id="rId380"/>
    <hyperlink xmlns:r="http://schemas.openxmlformats.org/officeDocument/2006/relationships" ref="X173" display="Stellen suchen" r:id="rId381"/>
    <hyperlink xmlns:r="http://schemas.openxmlformats.org/officeDocument/2006/relationships" ref="V174" display="https://www.honeywell.com/" r:id="rId382"/>
    <hyperlink xmlns:r="http://schemas.openxmlformats.org/officeDocument/2006/relationships" ref="X174" display="Stellen suchen" r:id="rId383"/>
    <hyperlink xmlns:r="http://schemas.openxmlformats.org/officeDocument/2006/relationships" ref="V175" display="https://www.emerson.com/" r:id="rId384"/>
    <hyperlink xmlns:r="http://schemas.openxmlformats.org/officeDocument/2006/relationships" ref="X175" display="Stellen suchen" r:id="rId385"/>
    <hyperlink xmlns:r="http://schemas.openxmlformats.org/officeDocument/2006/relationships" ref="V176" display="https://www.eaton.com/" r:id="rId386"/>
    <hyperlink xmlns:r="http://schemas.openxmlformats.org/officeDocument/2006/relationships" ref="X176" display="Stellen suchen" r:id="rId387"/>
    <hyperlink xmlns:r="http://schemas.openxmlformats.org/officeDocument/2006/relationships" ref="V177" display="https://ch.dow.com/en-us.html" r:id="rId388"/>
    <hyperlink xmlns:r="http://schemas.openxmlformats.org/officeDocument/2006/relationships" ref="X177" display="Stellen suchen" r:id="rId389"/>
    <hyperlink xmlns:r="http://schemas.openxmlformats.org/officeDocument/2006/relationships" ref="V178" display="https://www.tetralaval.com/" r:id="rId390"/>
    <hyperlink xmlns:r="http://schemas.openxmlformats.org/officeDocument/2006/relationships" ref="X178" display="Stellen suchen" r:id="rId391"/>
    <hyperlink xmlns:r="http://schemas.openxmlformats.org/officeDocument/2006/relationships" ref="V179" display="https://www.aptiv.com/en/jobs/working-here/global-locations/switzerland" r:id="rId392"/>
    <hyperlink xmlns:r="http://schemas.openxmlformats.org/officeDocument/2006/relationships" ref="X179" display="Stellen suchen" r:id="rId393"/>
    <hyperlink xmlns:r="http://schemas.openxmlformats.org/officeDocument/2006/relationships" ref="V180" display="https://www.deepwater.com/" r:id="rId394"/>
    <hyperlink xmlns:r="http://schemas.openxmlformats.org/officeDocument/2006/relationships" ref="X180" display="Stellen suchen" r:id="rId395"/>
    <hyperlink xmlns:r="http://schemas.openxmlformats.org/officeDocument/2006/relationships" ref="V181" display="https://allseas.com/" r:id="rId396"/>
    <hyperlink xmlns:r="http://schemas.openxmlformats.org/officeDocument/2006/relationships" ref="X181" display="Stellen suchen" r:id="rId397"/>
    <hyperlink xmlns:r="http://schemas.openxmlformats.org/officeDocument/2006/relationships" ref="V182" display="https://www.nobelbiocare.com/en-int/contacts" r:id="rId398"/>
    <hyperlink xmlns:r="http://schemas.openxmlformats.org/officeDocument/2006/relationships" ref="X182" display="Stellen suchen" r:id="rId399"/>
    <hyperlink xmlns:r="http://schemas.openxmlformats.org/officeDocument/2006/relationships" ref="V183" display="https://www.jnj.com/CH/de/standorte" r:id="rId400"/>
    <hyperlink xmlns:r="http://schemas.openxmlformats.org/officeDocument/2006/relationships" ref="X183" display="Stellen suchen" r:id="rId401"/>
    <hyperlink xmlns:r="http://schemas.openxmlformats.org/officeDocument/2006/relationships" ref="V184" display="https://www.baxter.ch/" r:id="rId402"/>
    <hyperlink xmlns:r="http://schemas.openxmlformats.org/officeDocument/2006/relationships" ref="X184" display="Stellen suchen" r:id="rId403"/>
    <hyperlink xmlns:r="http://schemas.openxmlformats.org/officeDocument/2006/relationships" ref="V185" display="https://www.lucerne-business.com/en/company/santrade-ltd-and-sandvik-ag-1676" r:id="rId404"/>
    <hyperlink xmlns:r="http://schemas.openxmlformats.org/officeDocument/2006/relationships" ref="X185" display="Stellen suchen" r:id="rId405"/>
    <hyperlink xmlns:r="http://schemas.openxmlformats.org/officeDocument/2006/relationships" ref="Y185" display="https://www.home.sandvik/en/careers/job-search/" r:id="rId406"/>
    <hyperlink xmlns:r="http://schemas.openxmlformats.org/officeDocument/2006/relationships" ref="V186" display="https://www.thermofisher.com/" r:id="rId407"/>
    <hyperlink xmlns:r="http://schemas.openxmlformats.org/officeDocument/2006/relationships" ref="X186" display="Stellen suchen" r:id="rId408"/>
    <hyperlink xmlns:r="http://schemas.openxmlformats.org/officeDocument/2006/relationships" ref="V187" display="https://www.sigmaaldrich.com/" r:id="rId409"/>
    <hyperlink xmlns:r="http://schemas.openxmlformats.org/officeDocument/2006/relationships" ref="X187" display="Stellen suchen" r:id="rId410"/>
    <hyperlink xmlns:r="http://schemas.openxmlformats.org/officeDocument/2006/relationships" ref="V188" display="https://www.estun.com/" r:id="rId411"/>
    <hyperlink xmlns:r="http://schemas.openxmlformats.org/officeDocument/2006/relationships" ref="X188" display="Stellen suchen" r:id="rId412"/>
    <hyperlink xmlns:r="http://schemas.openxmlformats.org/officeDocument/2006/relationships" ref="V189" display="https://www.vitol.com/vitol-2025-volumes-and-review/" r:id="rId413"/>
    <hyperlink xmlns:r="http://schemas.openxmlformats.org/officeDocument/2006/relationships" ref="X189" display="Stellen suchen" r:id="rId414"/>
    <hyperlink xmlns:r="http://schemas.openxmlformats.org/officeDocument/2006/relationships" ref="V190" display="https://www.glencore.com/media-and-insights/news/preliminary-results-2025" r:id="rId415"/>
    <hyperlink xmlns:r="http://schemas.openxmlformats.org/officeDocument/2006/relationships" ref="X190" display="Stellen suchen" r:id="rId416"/>
    <hyperlink xmlns:r="http://schemas.openxmlformats.org/officeDocument/2006/relationships" ref="V191" display="https://www.trafigura.com/news-and-insights/press-releases/2025/trafigura-publishes-2025-annual-results/" r:id="rId417"/>
    <hyperlink xmlns:r="http://schemas.openxmlformats.org/officeDocument/2006/relationships" ref="X191" display="Stellen suchen" r:id="rId418"/>
    <hyperlink xmlns:r="http://schemas.openxmlformats.org/officeDocument/2006/relationships" ref="V192" display="https://gunvorgroup.com/financial/gunvor-group-results-2025/" r:id="rId419"/>
    <hyperlink xmlns:r="http://schemas.openxmlformats.org/officeDocument/2006/relationships" ref="X192" display="Stellen suchen" r:id="rId420"/>
    <hyperlink xmlns:r="http://schemas.openxmlformats.org/officeDocument/2006/relationships" ref="V193" display="https://www.bunge.com/investors" r:id="rId421"/>
    <hyperlink xmlns:r="http://schemas.openxmlformats.org/officeDocument/2006/relationships" ref="X193" display="Stellen suchen" r:id="rId422"/>
    <hyperlink xmlns:r="http://schemas.openxmlformats.org/officeDocument/2006/relationships" ref="V194" display="https://www.ldc.com/press-releases/louis-dreyfus-company-reports-resilient-2025-results/" r:id="rId423"/>
    <hyperlink xmlns:r="http://schemas.openxmlformats.org/officeDocument/2006/relationships" ref="X194" display="Stellen suchen" r:id="rId424"/>
    <hyperlink xmlns:r="http://schemas.openxmlformats.org/officeDocument/2006/relationships" ref="V195" display="https://met.com/en/media/press-releases/met-group-reports-strong-2025-performance-with-growth-across-core-businesses/" r:id="rId425"/>
    <hyperlink xmlns:r="http://schemas.openxmlformats.org/officeDocument/2006/relationships" ref="X195" display="Stellen suchen" r:id="rId426"/>
    <hyperlink xmlns:r="http://schemas.openxmlformats.org/officeDocument/2006/relationships" ref="V196" display="https://www.duferco.com/duferco-revenues-2025/" r:id="rId427"/>
    <hyperlink xmlns:r="http://schemas.openxmlformats.org/officeDocument/2006/relationships" ref="X196" display="Stellen suchen" r:id="rId428"/>
    <hyperlink xmlns:r="http://schemas.openxmlformats.org/officeDocument/2006/relationships" ref="V197" display="https://www.ameropa.com/news/news/news-ameropa-announces-double-digit-sales-growth-in-2025-as-well-as-strengthening-of-its-finances-and-operations" r:id="rId429"/>
    <hyperlink xmlns:r="http://schemas.openxmlformats.org/officeDocument/2006/relationships" ref="X197" display="Stellen suchen" r:id="rId430"/>
    <hyperlink xmlns:r="http://schemas.openxmlformats.org/officeDocument/2006/relationships" ref="V198" display="https://www.kolmargroup.com/news/" r:id="rId431"/>
    <hyperlink xmlns:r="http://schemas.openxmlformats.org/officeDocument/2006/relationships" ref="X198" display="Stellen suchen" r:id="rId432"/>
    <hyperlink xmlns:r="http://schemas.openxmlformats.org/officeDocument/2006/relationships" ref="V199" display="https://www.cargill.com/worldwide/switzerland-en" r:id="rId433"/>
    <hyperlink xmlns:r="http://schemas.openxmlformats.org/officeDocument/2006/relationships" ref="X199" display="Stellen suchen" r:id="rId434"/>
    <hyperlink xmlns:r="http://schemas.openxmlformats.org/officeDocument/2006/relationships" ref="V200" display="https://mercuria.com/media-room/our-performance/" r:id="rId435"/>
    <hyperlink xmlns:r="http://schemas.openxmlformats.org/officeDocument/2006/relationships" ref="X200" display="Stellen suchen" r:id="rId436"/>
    <hyperlink xmlns:r="http://schemas.openxmlformats.org/officeDocument/2006/relationships" ref="V201" display="https://www.ecomtrading.com/" r:id="rId437"/>
    <hyperlink xmlns:r="http://schemas.openxmlformats.org/officeDocument/2006/relationships" ref="X201" display="Stellen suchen" r:id="rId438"/>
    <hyperlink xmlns:r="http://schemas.openxmlformats.org/officeDocument/2006/relationships" ref="V202" display="https://en.cmoc.com/html/Business/IXM/" r:id="rId439"/>
    <hyperlink xmlns:r="http://schemas.openxmlformats.org/officeDocument/2006/relationships" ref="X202" display="Stellen suchen" r:id="rId440"/>
    <hyperlink xmlns:r="http://schemas.openxmlformats.org/officeDocument/2006/relationships" ref="V203" display="https://group.sucafina.com/" r:id="rId441"/>
    <hyperlink xmlns:r="http://schemas.openxmlformats.org/officeDocument/2006/relationships" ref="X203" display="Stellen suchen" r:id="rId442"/>
    <hyperlink xmlns:r="http://schemas.openxmlformats.org/officeDocument/2006/relationships" ref="V204" display="https://alvean.com/our-business/" r:id="rId443"/>
    <hyperlink xmlns:r="http://schemas.openxmlformats.org/officeDocument/2006/relationships" ref="X204" display="Stellen suchen" r:id="rId444"/>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2.xml><?xml version="1.0" encoding="utf-8"?>
<worksheet xmlns="http://schemas.openxmlformats.org/spreadsheetml/2006/main">
  <sheetPr filterMode="0">
    <outlinePr summaryBelow="1" summaryRight="1"/>
    <pageSetUpPr fitToPage="0"/>
  </sheetPr>
  <dimension ref="A1:C41"/>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8" customWidth="1" style="56" min="1" max="1"/>
    <col width="74" customWidth="1" style="56" min="2" max="2"/>
    <col width="12" customWidth="1" style="56" min="3" max="3"/>
  </cols>
  <sheetData>
    <row r="1" ht="48" customHeight="1" s="57">
      <c r="A1" s="105" t="inlineStr">
        <is>
          <t>Zielliste Schweizer Industrieunternehmen</t>
        </is>
      </c>
    </row>
    <row r="2" ht="34.5" customHeight="1" s="57">
      <c r="A2" s="106" t="inlineStr">
        <is>
          <t>Stand 28.08.2026 · Kernliste nach Umsatz, danach Konzern-HQs, zuletzt Rohstoffhändler</t>
        </is>
      </c>
    </row>
    <row r="4" ht="15" customHeight="1" s="57">
      <c r="A4" s="107" t="inlineStr">
        <is>
          <t>Die fünf Gruppen</t>
        </is>
      </c>
    </row>
    <row r="5" ht="31.5" customHeight="1" s="57">
      <c r="A5" s="108" t="inlineStr">
        <is>
          <t>Kern (weiss)</t>
        </is>
      </c>
      <c r="B5" s="106" t="inlineStr">
        <is>
          <t>Eigenständige Schweizer Industrieunternehmen mit engineered product, CHF 100 Mio.–3 Mrd.</t>
        </is>
      </c>
    </row>
    <row r="6" ht="31.5" customHeight="1" s="57">
      <c r="A6" s="108" t="inlineStr">
        <is>
          <t>Grosskonzern (grün)</t>
        </is>
      </c>
      <c r="B6" s="106" t="inlineStr">
        <is>
          <t>Schweizer Konzerne über CHF 3 Mrd.</t>
        </is>
      </c>
    </row>
    <row r="7" ht="31.5" customHeight="1" s="57">
      <c r="A7" s="108" t="inlineStr">
        <is>
          <t>Liechtenstein (orange)</t>
        </is>
      </c>
      <c r="B7" s="106" t="inlineStr">
        <is>
          <t>Sitz im Fürstentum. Eigenes Arbeitsrecht und Sozialsystem, ab Meilen nur mit Wochenaufenthalt.</t>
        </is>
      </c>
    </row>
    <row r="8" ht="31.5" customHeight="1" s="57">
      <c r="A8" s="108" t="inlineStr">
        <is>
          <t>Konzern-HQ CH (violett)</t>
        </is>
      </c>
      <c r="B8" s="106" t="inlineStr">
        <is>
          <t>Ausländische Gruppen, deren Schweizer Standort ein internationales Mandat hat. Spalte Q nennt das Mandat.</t>
        </is>
      </c>
    </row>
    <row r="9" ht="31.5" customHeight="1" s="57">
      <c r="A9" s="108" t="inlineStr">
        <is>
          <t>Rohstoffhandel (grau)</t>
        </is>
      </c>
      <c r="B9" s="106" t="inlineStr">
        <is>
          <t>Kein eigenes Produkt. Umsatz ist Handelsumsatz. Nur über die Strategie- und M&amp;A-Schiene relevant.</t>
        </is>
      </c>
    </row>
    <row r="11" ht="26.25" customHeight="1" s="57">
      <c r="A11" s="107" t="inlineStr">
        <is>
          <t>Mandat (Spalte Q, nur bei violetten Zeilen)</t>
        </is>
      </c>
    </row>
    <row r="12" ht="31.5" customHeight="1" s="57">
      <c r="A12" s="108" t="inlineStr">
        <is>
          <t>GLOBAL-HQ</t>
        </is>
      </c>
      <c r="B12" s="106" t="inlineStr">
        <is>
          <t>Weltzentrale des Konzerns oder der Gruppe sitzt in der Schweiz. Höchste Entscheidungsdichte.</t>
        </is>
      </c>
    </row>
    <row r="13" ht="31.5" customHeight="1" s="57">
      <c r="A13" s="108" t="inlineStr">
        <is>
          <t>DIVISIONS-HQ</t>
        </is>
      </c>
      <c r="B13" s="106" t="inlineStr">
        <is>
          <t>Weltsitz einer einzelnen Division. Für Commercial-Rollen oft ideal: internationales Mandat, überschaubare Organisation.</t>
        </is>
      </c>
    </row>
    <row r="14" ht="31.5" customHeight="1" s="57">
      <c r="A14" s="108" t="inlineStr">
        <is>
          <t>EMEA-HQ</t>
        </is>
      </c>
      <c r="B14" s="106" t="inlineStr">
        <is>
          <t>Europa-/Nahost-/Afrika-Zentrale. Internationales Mandat, aber die Konzernstrategie kommt aus dem Ausland.</t>
        </is>
      </c>
    </row>
    <row r="15" ht="31.5" customHeight="1" s="57">
      <c r="A15" s="108" t="inlineStr">
        <is>
          <t>GROSSSTANDORT</t>
        </is>
      </c>
      <c r="B15" s="106" t="inlineStr">
        <is>
          <t>Grosses Werk oder Entwicklungszentrum ohne HQ-Mandat. Kommerziell meist dünn — vor allem Technik.</t>
        </is>
      </c>
    </row>
    <row r="17" ht="26.25" customHeight="1" s="57">
      <c r="A17" s="107" t="inlineStr">
        <is>
          <t>Grössenklassen und Wechselkurse</t>
        </is>
      </c>
    </row>
    <row r="18" ht="30" customHeight="1" s="57">
      <c r="A18" s="106" t="inlineStr">
        <is>
          <t>A &gt;5 Mrd. · B 3–5 Mrd. · C 1–3 Mrd. · D 0.1–1 Mrd. Bei Konzern-HQs und Rohstoffhändlern ist die Klasse nicht aussagekräftig — dort zählt die Mitarbeiterzahl in Spalte M.</t>
        </is>
      </c>
    </row>
    <row r="20" ht="15" customHeight="1" s="57">
      <c r="B20" s="109" t="inlineStr">
        <is>
          <t>EUR → CHF</t>
        </is>
      </c>
      <c r="C20" s="110" t="n">
        <v>0.9399999999999999</v>
      </c>
    </row>
    <row r="21" ht="15" customHeight="1" s="57">
      <c r="B21" s="109" t="inlineStr">
        <is>
          <t>USD → CHF</t>
        </is>
      </c>
      <c r="C21" s="110" t="n">
        <v>0.8</v>
      </c>
    </row>
    <row r="23" ht="26.25" customHeight="1" s="57">
      <c r="A23" s="107" t="inlineStr">
        <is>
          <t>Prio-Stufen (Spalte B) — steuern den Job-Radar</t>
        </is>
      </c>
    </row>
    <row r="24" ht="15" customHeight="1" s="57">
      <c r="A24" s="108" t="inlineStr">
        <is>
          <t>Prio 1</t>
        </is>
      </c>
      <c r="B24" s="106" t="inlineStr">
        <is>
          <t>Täglich abgefragt, blau hinterlegt.</t>
        </is>
      </c>
    </row>
    <row r="25" ht="15" customHeight="1" s="57">
      <c r="A25" s="108" t="inlineStr">
        <is>
          <t>Prio 2</t>
        </is>
      </c>
      <c r="B25" s="106" t="inlineStr">
        <is>
          <t>Montag, Mittwoch, Freitag.</t>
        </is>
      </c>
    </row>
    <row r="26" ht="15" customHeight="1" s="57">
      <c r="A26" s="108" t="inlineStr">
        <is>
          <t>Prio 3</t>
        </is>
      </c>
      <c r="B26" s="106" t="inlineStr">
        <is>
          <t>Erster und dritter Dienstag. Alle Neuzugänge stehen zunächst hier.</t>
        </is>
      </c>
    </row>
    <row r="28" ht="15" customHeight="1" s="57">
      <c r="A28" s="107" t="inlineStr">
        <is>
          <t>Datenqualität (Spalte O)</t>
        </is>
      </c>
    </row>
    <row r="29" ht="25.5" customHeight="1" s="57">
      <c r="A29" s="108" t="inlineStr">
        <is>
          <t>publiziert</t>
        </is>
      </c>
      <c r="B29" s="106" t="inlineStr">
        <is>
          <t>Aus Geschäftsbericht oder Medienmitteilung des laufenden Jahres.</t>
        </is>
      </c>
    </row>
    <row r="30" ht="25.5" customHeight="1" s="57">
      <c r="A30" s="108" t="inlineStr">
        <is>
          <t>veraltet</t>
        </is>
      </c>
      <c r="B30" s="106" t="inlineStr">
        <is>
          <t>Letzte öffentlich auffindbare Zahl, teils Jahre alt.</t>
        </is>
      </c>
    </row>
    <row r="31" ht="25.5" customHeight="1" s="57">
      <c r="A31" s="108" t="inlineStr">
        <is>
          <t>geschätzt</t>
        </is>
      </c>
      <c r="B31" s="106" t="inlineStr">
        <is>
          <t>Firma publiziert keine Zahlen. Grössenordnung aus Branchenquellen. Nie zitieren.</t>
        </is>
      </c>
    </row>
    <row r="32" ht="25.5" customHeight="1" s="57">
      <c r="A32" s="108" t="inlineStr">
        <is>
          <t>Handelsumsatz</t>
        </is>
      </c>
      <c r="B32" s="106" t="inlineStr">
        <is>
          <t>Nur bei Rohstoffhändlern. Durchgehandeltes Volumen, keine Wertschöpfung.</t>
        </is>
      </c>
    </row>
    <row r="34" ht="26.25" customHeight="1" s="57">
      <c r="A34" s="107" t="inlineStr">
        <is>
          <t>Spalten zum Ausfüllen (gelb)</t>
        </is>
      </c>
    </row>
    <row r="35" ht="15" customHeight="1" s="57">
      <c r="A35" s="108" t="inlineStr">
        <is>
          <t>R — Fit-Score</t>
        </is>
      </c>
      <c r="B35" s="106" t="inlineStr">
        <is>
          <t>1–5. 5 = würde ich sofort ansprechen.</t>
        </is>
      </c>
    </row>
    <row r="36" ht="15" customHeight="1" s="57">
      <c r="A36" s="108" t="inlineStr">
        <is>
          <t>S — Kontakt im Netzwerk</t>
        </is>
      </c>
      <c r="B36" s="106" t="inlineStr">
        <is>
          <t>Name, wenn du dort jemanden kennst. Die wichtigste Spalte im Blatt.</t>
        </is>
      </c>
    </row>
    <row r="37" ht="15" customHeight="1" s="57">
      <c r="A37" s="108" t="inlineStr">
        <is>
          <t>T — Status</t>
        </is>
      </c>
      <c r="B37" s="106" t="inlineStr">
        <is>
          <t>offen / recherchiert / kontaktiert / beworben / abgesagt</t>
        </is>
      </c>
    </row>
    <row r="38" ht="15" customHeight="1" s="57">
      <c r="A38" s="108" t="inlineStr">
        <is>
          <t>U — Notizen</t>
        </is>
      </c>
      <c r="B38" s="106" t="inlineStr">
        <is>
          <t>Auslöser, Gesprächsnotizen, offene Stellen.</t>
        </is>
      </c>
    </row>
    <row r="40" ht="15" customHeight="1" s="57">
      <c r="A40" s="107" t="inlineStr">
        <is>
          <t>Was diese Liste nicht ist</t>
        </is>
      </c>
    </row>
    <row r="41" ht="45.75" customHeight="1" s="57">
      <c r="A41" s="106" t="inlineStr">
        <is>
          <t>Ein Screening-Ausgangspunkt, keine geprüfte Datenbank. Bei den Konzern-HQs sind die Mitarbeiterzahlen meist Schätzungen, und ein Mandat kann sich mit jeder Konzernreorganisation verschieben. Vor jedem Erstkontakt einzeln nachrecherchieren.</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B11"/>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4" customWidth="1" style="56" min="1" max="1"/>
    <col width="116" customWidth="1" style="56" min="2" max="2"/>
  </cols>
  <sheetData>
    <row r="1" ht="15" customHeight="1" s="57">
      <c r="A1" s="111" t="inlineStr">
        <is>
          <t>Grund</t>
        </is>
      </c>
      <c r="B1" s="111" t="inlineStr">
        <is>
          <t>Unternehmen</t>
        </is>
      </c>
    </row>
    <row r="2" ht="51.75" customHeight="1" s="57">
      <c r="A2" s="83" t="inlineStr">
        <is>
          <t>Pharma &amp; Life Sciences</t>
        </is>
      </c>
      <c r="B2" s="83" t="inlineStr">
        <is>
          <t>Roche, Novartis, Lonza, Bachem, Siegfried, PolyPeptide — Wirkstoffentwicklung und CDMO, kein Engineered Product.</t>
        </is>
      </c>
    </row>
    <row r="3" ht="51.75" customHeight="1" s="57">
      <c r="A3" s="83" t="inlineStr">
        <is>
          <t>Lebensmittel &amp; Ingredients</t>
        </is>
      </c>
      <c r="B3" s="83" t="inlineStr">
        <is>
          <t>Nestlé, Barry Callebaut, Givaudan, dsm-firmenich, Emmi, Lindt — Nahrungsmittel bzw. Aroma- und Nährstoffchemie.</t>
        </is>
      </c>
    </row>
    <row r="4" ht="51.75" customHeight="1" s="57">
      <c r="A4" s="83" t="inlineStr">
        <is>
          <t>Dienstleistungen, Handel, Software</t>
        </is>
      </c>
      <c r="B4" s="83" t="inlineStr">
        <is>
          <t>Adecco, Kühne+Nagel, ALSO Holding, Implenia, Burkhalter, Kudelski, Dufry — kein eigenes technisches Produkt. SGS ist als Grenzfall in der Hauptliste geführt.</t>
        </is>
      </c>
    </row>
    <row r="5" ht="51.75" customHeight="1" s="57">
      <c r="A5" s="83" t="inlineStr">
        <is>
          <t>Rohstoffhandel</t>
        </is>
      </c>
      <c r="B5" s="83" t="inlineStr">
        <is>
          <t>Glencore, Trafigura, Bunge — Handel und Verarbeitung, keine Industriegüter.</t>
        </is>
      </c>
    </row>
    <row r="6" ht="51.75" customHeight="1" s="57">
      <c r="A6" s="83" t="inlineStr">
        <is>
          <t>Sitz Liechtenstein, nicht Schweiz</t>
        </is>
      </c>
      <c r="B6" s="83" t="inlineStr">
        <is>
          <t>Hilti (Schaan), Ivoclar (Schaan), thyssenkrupp Presta (Eschen), Hoval (Vaduz).</t>
        </is>
      </c>
    </row>
    <row r="7" ht="51.75" customHeight="1" s="57">
      <c r="A7" s="83" t="inlineStr">
        <is>
          <t>Sitz im Ausland trotz Schweizer Ruf</t>
        </is>
      </c>
      <c r="B7" s="83" t="inlineStr">
        <is>
          <t>TE Connectivity (Irland), Precipart (USA), Mubea (DE), Almatec (DE), Autoliv (SE). ams-OSRAM (Österreich) und STMicroelectronics (Amsterdam) sind als Grenzfälle in der Hauptliste.</t>
        </is>
      </c>
    </row>
    <row r="8" ht="51.75" customHeight="1" s="57">
      <c r="A8" s="83" t="inlineStr">
        <is>
          <t>Unter CHF 100 Mio. Umsatz</t>
        </is>
      </c>
      <c r="B8" s="83" t="inlineStr">
        <is>
          <t>Contrinex (~CHF 60–65 Mio.), Datacolor (~CHF 86 Mio.), Agathon, Wandfluh, Regloplas, Sylvac, Bachofen, Gerber Instruments, Jansen (Zahl unbestätigt).</t>
        </is>
      </c>
    </row>
    <row r="9" ht="51.75" customHeight="1" s="57">
      <c r="A9" s="83" t="inlineStr">
        <is>
          <t>Status unklar oder entfallen</t>
        </is>
      </c>
      <c r="B9" s="83" t="inlineStr">
        <is>
          <t>Meyer Burger (Insolvenz von Tochtergesellschaften), Saurer (Konzernmutter chinesisch), Schleuniger (in Komax aufgegangen).</t>
        </is>
      </c>
    </row>
    <row r="10" ht="51.75" customHeight="1" s="57">
      <c r="A10" s="83" t="inlineStr">
        <is>
          <t>Geprüft, aber nur Landesgesellschaft</t>
        </is>
      </c>
      <c r="B10" s="83" t="inlineStr">
        <is>
          <t>Bosch (Zuchwil), Bosch Rexroth, Schaeffler, ZF, Mahle, WAGO, Festo, Rockwell, Atlas Copco, SKF, Kongsberg, Vestas, Nordex, Thales, Leonardo, BAE, Collins Aerospace, Nidec (Birmenstorf), Demant, WSAudiology, Siemens Healthineers, Philips, GE HealthCare, Agilent, Waters, Sartorius, Revvity, ASML, Lam Research, Applied Materials — kein internationales Mandat am Schweizer Standort belegbar.</t>
        </is>
      </c>
    </row>
    <row r="11" ht="51.75" customHeight="1" s="57">
      <c r="A11" s="83" t="inlineStr">
        <is>
          <t>Sonderfälle</t>
        </is>
      </c>
      <c r="B11" s="83" t="inlineStr">
        <is>
          <t>TE Connectivity: Sitz 2024 nach Irland verlegt, verbleibendes Regionalmandat in Schaffhausen nicht belegbar. Alcon und SHL Medical: Schweizer Gesellschaften, kein ausländischer Mutterkonzern — Alcon steht bereits in der Hauptliste. Roche Diagnostics Rotkreuz: Mutterkonzern schweizerisch. TDK-Micronas: Sitz Freiburg im Breisgau, nicht Fribourg.</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2026-09-03T15:56:18Z</dcterms:created>
  <dcterms:modified xsi:type="dcterms:W3CDTF">2026-09-10T19:36:16Z</dcterms:modified>
  <cp:revision>0</cp:revision>
</cp:coreProperties>
</file>